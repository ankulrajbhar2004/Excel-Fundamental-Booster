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50ce29afbd42b48/Desktop/AI-ML EXEL/LAB-WORKS/PROJECT 1/"/>
    </mc:Choice>
  </mc:AlternateContent>
  <xr:revisionPtr revIDLastSave="584" documentId="11_F25DC773A252ABDACC104849C99C61665BDE58E7" xr6:coauthVersionLast="47" xr6:coauthVersionMax="47" xr10:uidLastSave="{DBFF9BA7-0EBD-4FF4-9EFB-B6F8BE0E36BA}"/>
  <bookViews>
    <workbookView minimized="1" xWindow="2205" yWindow="2205" windowWidth="21600" windowHeight="11295" activeTab="1" xr2:uid="{00000000-000D-0000-FFFF-FFFF00000000}"/>
  </bookViews>
  <sheets>
    <sheet name="Student Data" sheetId="1" r:id="rId1"/>
    <sheet name="Sales Data" sheetId="2" r:id="rId2"/>
    <sheet name="Employee Data" sheetId="3" r:id="rId3"/>
  </sheets>
  <definedNames>
    <definedName name="Sales_Amount">Table2[Amount]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3" l="1"/>
  <c r="J19" i="3"/>
  <c r="J17" i="3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K27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O4" i="2"/>
  <c r="I11" i="3"/>
  <c r="I12" i="3"/>
  <c r="I13" i="3"/>
  <c r="I10" i="3"/>
  <c r="G39" i="2"/>
  <c r="C24" i="2"/>
  <c r="R24" i="2"/>
  <c r="R25" i="2"/>
  <c r="R26" i="2"/>
  <c r="R23" i="2"/>
  <c r="I4" i="3"/>
  <c r="I5" i="3"/>
  <c r="I6" i="3"/>
  <c r="I3" i="3"/>
  <c r="J2" i="2"/>
  <c r="H31" i="2" s="1"/>
  <c r="J3" i="2"/>
  <c r="J4" i="2"/>
  <c r="J5" i="2"/>
  <c r="H32" i="2" s="1"/>
  <c r="J6" i="2"/>
  <c r="J7" i="2"/>
  <c r="J8" i="2"/>
  <c r="H33" i="2" s="1"/>
  <c r="J9" i="2"/>
  <c r="J10" i="2"/>
  <c r="J11" i="2"/>
  <c r="J12" i="2"/>
  <c r="J13" i="2"/>
  <c r="J14" i="2"/>
  <c r="H34" i="2" s="1"/>
  <c r="J15" i="2"/>
  <c r="J16" i="2"/>
  <c r="J17" i="2"/>
  <c r="J18" i="2"/>
  <c r="J19" i="2"/>
  <c r="J20" i="2"/>
  <c r="J21" i="2"/>
  <c r="F27" i="2"/>
  <c r="F26" i="2"/>
  <c r="S16" i="2" a="1"/>
  <c r="S17" i="2" a="1"/>
  <c r="S18" i="2" a="1"/>
  <c r="S19" i="2" a="1"/>
  <c r="S15" i="2" a="1"/>
  <c r="R9" i="2"/>
  <c r="R10" i="2"/>
  <c r="R11" i="2"/>
  <c r="R8" i="2"/>
  <c r="K26" i="1"/>
  <c r="K28" i="1"/>
  <c r="K25" i="1"/>
  <c r="B25" i="1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G20" i="2"/>
  <c r="G21" i="2"/>
  <c r="H19" i="2"/>
  <c r="H20" i="2"/>
  <c r="H21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2" i="1" l="1"/>
  <c r="I2" i="1" s="1"/>
  <c r="H10" i="1"/>
  <c r="I10" i="1" s="1"/>
  <c r="K10" i="1"/>
  <c r="H3" i="1"/>
  <c r="I3" i="1" s="1"/>
  <c r="K3" i="1"/>
  <c r="H4" i="1"/>
  <c r="I4" i="1" s="1"/>
  <c r="K4" i="1"/>
  <c r="H5" i="1"/>
  <c r="I5" i="1" s="1"/>
  <c r="K5" i="1"/>
  <c r="H6" i="1"/>
  <c r="I6" i="1" s="1"/>
  <c r="K6" i="1"/>
  <c r="H7" i="1"/>
  <c r="I7" i="1" s="1"/>
  <c r="K7" i="1"/>
  <c r="H8" i="1"/>
  <c r="I8" i="1" s="1"/>
  <c r="K8" i="1"/>
  <c r="H9" i="1"/>
  <c r="I9" i="1" s="1"/>
  <c r="K9" i="1"/>
  <c r="H11" i="1"/>
  <c r="I11" i="1" s="1"/>
  <c r="K11" i="1"/>
  <c r="H12" i="1"/>
  <c r="I12" i="1" s="1"/>
  <c r="K12" i="1"/>
  <c r="H13" i="1"/>
  <c r="I13" i="1" s="1"/>
  <c r="K13" i="1"/>
  <c r="H14" i="1"/>
  <c r="I14" i="1" s="1"/>
  <c r="K14" i="1"/>
  <c r="H15" i="1"/>
  <c r="I15" i="1" s="1"/>
  <c r="K15" i="1"/>
  <c r="H16" i="1"/>
  <c r="I16" i="1" s="1"/>
  <c r="K16" i="1"/>
  <c r="H17" i="1"/>
  <c r="I17" i="1" s="1"/>
  <c r="K17" i="1"/>
  <c r="H18" i="1"/>
  <c r="I18" i="1" s="1"/>
  <c r="K18" i="1"/>
  <c r="H19" i="1"/>
  <c r="I19" i="1" s="1"/>
  <c r="K19" i="1"/>
  <c r="H20" i="1"/>
  <c r="I20" i="1" s="1"/>
  <c r="K20" i="1"/>
  <c r="H21" i="1"/>
  <c r="I21" i="1" s="1"/>
  <c r="K21" i="1"/>
  <c r="K2" i="1" l="1"/>
  <c r="A30" i="1" a="1"/>
  <c r="E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<sst xmlns="http://schemas.openxmlformats.org/spreadsheetml/2006/main" count="192" uniqueCount="122">
  <si>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</si>
  <si>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</si>
  <si>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</si>
  <si>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</si>
  <si>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</si>
  <si>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</si>
  <si>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</si>
  <si>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</si>
  <si>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</si>
  <si>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</si>
  <si>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</si>
  <si>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</si>
  <si>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</si>
  <si>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</si>
  <si>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</si>
  <si>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</si>
  <si>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</si>
  <si>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</si>
  <si>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</si>
  <si>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</si>
  <si>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</si>
  <si>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</si>
  <si>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</si>
  <si>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</si>
  <si>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</si>
  <si>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</si>
  <si>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</si>
  <si>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</si>
  <si>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</si>
  <si>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</si>
  <si>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</si>
  <si>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</si>
  <si>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</si>
  <si>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</si>
  <si>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</si>
  <si>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</si>
  <si>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</si>
  <si>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</si>
  <si>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</si>
  <si>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</si>
  <si>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</si>
  <si>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</si>
  <si>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</si>
  <si>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</si>
  <si>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</si>
  <si>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</si>
  <si>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</si>
  <si>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</si>
  <si>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</si>
  <si>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</si>
  <si>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</si>
  <si>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</si>
  <si>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</si>
  <si>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</si>
  <si>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</si>
  <si>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</si>
  <si>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</si>
  <si>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</si>
  <si>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</si>
  <si>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</si>
  <si>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</si>
  <si>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</si>
  <si>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</si>
  <si>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</si>
  <si>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</si>
  <si>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</si>
  <si>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</si>
  <si>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</si>
  <si>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</si>
  <si>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</si>
  <si>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</si>
  <si>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</si>
  <si>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</si>
  <si>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</si>
  <si>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</si>
  <si>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</si>
  <si>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</si>
  <si>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</si>
  <si>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</si>
  <si>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</si>
  <si>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</si>
  <si>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</si>
  <si>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</si>
  <si>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</si>
  <si>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</si>
  <si>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</si>
  <si>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</si>
  <si>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</si>
  <si>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</si>
  <si>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</si>
  <si>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Total</t>
  </si>
  <si>
    <t>Discount</t>
  </si>
  <si>
    <t>Discount Amount</t>
  </si>
  <si>
    <t>SCI&gt;80 &amp;MATH&gt;80</t>
  </si>
  <si>
    <t>Eligibility</t>
  </si>
  <si>
    <t>STUDENT MARKS &gt; 50</t>
  </si>
  <si>
    <t>TOTAL SUM FOR A SPECIFIC REGION &amp; PRODUCT</t>
  </si>
  <si>
    <t>AVERAGE STUDENT WHO SCORE ABOVE 60</t>
  </si>
  <si>
    <t>PERCENTAGE</t>
  </si>
  <si>
    <t>Retrieving product prices based on product codes</t>
  </si>
  <si>
    <t>Find sales values for a specific salesperson in a specific month</t>
  </si>
  <si>
    <t>January</t>
  </si>
  <si>
    <t>February</t>
  </si>
  <si>
    <t>March</t>
  </si>
  <si>
    <t>Look up employee details dynamically without column restrictions.</t>
  </si>
  <si>
    <t>Convert Product names to uppercase/lowercase using UPPER(), LOWER()</t>
  </si>
  <si>
    <t>PERFORMANCE</t>
  </si>
  <si>
    <t>Search for salesperson performance based on flexible search criteria</t>
  </si>
  <si>
    <t>Find employee salaries without worrying about sorted data</t>
  </si>
  <si>
    <t>Find the position of a product in a sales list</t>
  </si>
  <si>
    <t>Dynamically reference a cell range using INDIRECT</t>
  </si>
  <si>
    <t>Total Sales Amount</t>
  </si>
  <si>
    <t>Create dynamic ranges for sales trends</t>
  </si>
  <si>
    <t>Extract the first name from full names using LEFT and FIND</t>
  </si>
  <si>
    <t>ROUND FUN</t>
  </si>
  <si>
    <t>CEILING MATH</t>
  </si>
  <si>
    <t xml:space="preserve">FLOOR MATH </t>
  </si>
  <si>
    <t>CEILING FUNCTION</t>
  </si>
  <si>
    <t>ROUND FUNCTION</t>
  </si>
  <si>
    <t>FLOOR FUNCTION</t>
  </si>
  <si>
    <t>Extract a list of top-performing students based on scores</t>
  </si>
  <si>
    <r>
      <t>FE</t>
    </r>
    <r>
      <rPr>
        <b/>
        <sz val="11"/>
        <rFont val="Calibri"/>
        <family val="2"/>
        <scheme val="minor"/>
      </rPr>
      <t>TCHING STUDENT NAMES BASED ON 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</si>
</sst>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F800]dddd\,\ mmmm\ dd\,\ yyyy"/>
    <numFmt numFmtId="170" formatCode="&quot;₹&quot;\ #,##0.00"/>
  </numFmts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21192"/>
      <name val="Segoe UI"/>
      <family val="2"/>
    </font>
    <font>
      <b/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3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69" fontId="5" fillId="0" borderId="6" xfId="0" applyNumberFormat="1" applyFont="1" applyBorder="1" applyAlignment="1">
      <alignment horizontal="center" vertical="center" wrapText="1"/>
    </xf>
    <xf numFmtId="169" fontId="5" fillId="0" borderId="3" xfId="0" applyNumberFormat="1" applyFont="1" applyBorder="1" applyAlignment="1">
      <alignment horizontal="center" vertical="center" wrapText="1"/>
    </xf>
    <xf numFmtId="169" fontId="5" fillId="0" borderId="9" xfId="0" applyNumberFormat="1" applyFont="1" applyBorder="1" applyAlignment="1">
      <alignment horizontal="center" vertical="center" wrapText="1"/>
    </xf>
    <xf numFmtId="0" fontId="0" fillId="0" borderId="0" xfId="0" applyAlignment="1"/>
    <xf numFmtId="0" fontId="5" fillId="0" borderId="0" xfId="0" applyNumberFormat="1" applyFont="1" applyAlignment="1">
      <alignment horizontal="center" vertical="center" wrapText="1"/>
    </xf>
    <xf numFmtId="0" fontId="6" fillId="8" borderId="16" xfId="1" applyFont="1" applyFill="1" applyBorder="1" applyAlignment="1">
      <alignment horizontal="center"/>
    </xf>
    <xf numFmtId="0" fontId="6" fillId="8" borderId="18" xfId="1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8" borderId="17" xfId="1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170" fontId="5" fillId="0" borderId="15" xfId="0" applyNumberFormat="1" applyFont="1" applyBorder="1" applyAlignment="1">
      <alignment horizontal="center" vertical="center" wrapText="1"/>
    </xf>
    <xf numFmtId="170" fontId="5" fillId="0" borderId="1" xfId="0" applyNumberFormat="1" applyFont="1" applyBorder="1" applyAlignment="1">
      <alignment horizontal="center" vertical="center" wrapText="1"/>
    </xf>
    <xf numFmtId="170" fontId="5" fillId="0" borderId="8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5" borderId="0" xfId="0" applyFill="1"/>
    <xf numFmtId="0" fontId="0" fillId="11" borderId="0" xfId="0" applyFill="1"/>
    <xf numFmtId="0" fontId="0" fillId="5" borderId="0" xfId="0" applyFill="1" applyAlignment="1"/>
    <xf numFmtId="0" fontId="0" fillId="5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70" fontId="0" fillId="11" borderId="0" xfId="0" applyNumberForma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8" borderId="0" xfId="0" applyFont="1" applyFill="1" applyAlignment="1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70" fontId="3" fillId="8" borderId="0" xfId="0" applyNumberFormat="1" applyFont="1" applyFill="1" applyAlignment="1">
      <alignment horizontal="center" vertical="center"/>
    </xf>
    <xf numFmtId="170" fontId="3" fillId="10" borderId="0" xfId="0" applyNumberFormat="1" applyFont="1" applyFill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46">
    <dxf>
      <font>
        <b/>
        <i/>
        <family val="2"/>
      </font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family val="2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14" formatCode="0.00%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0" formatCode="General"/>
      <alignment horizontal="center" vertical="center" textRotation="0" wrapText="1" indent="0" justifyLastLine="0" shrinkToFit="0" readingOrder="0"/>
    </dxf>
    <dxf>
      <font>
        <b/>
        <i/>
      </font>
      <numFmt numFmtId="170" formatCode="&quot;₹&quot;\ #,##0.00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CCCCCC"/>
        </top>
        <bottom style="medium">
          <color rgb="FF000000"/>
        </bottom>
      </border>
    </dxf>
    <dxf>
      <font>
        <b/>
        <i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numFmt numFmtId="169" formatCode="[$-F800]dddd\,\ mmmm\ dd\,\ yyyy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numFmt numFmtId="170" formatCode="&quot;₹&quot;\ #,##0.00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CCCCCC"/>
        </top>
        <bottom style="medium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&quot;₹&quot;\ #,##0.00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9D20D-500F-4A48-B000-8D7705F47278}" name="Table1" displayName="Table1" ref="A1:M21" totalsRowShown="0" headerRowDxfId="1" dataDxfId="0" headerRowBorderDxfId="44" tableBorderDxfId="45" totalsRowBorderDxfId="43">
  <autoFilter ref="A1:M21" xr:uid="{2289D20D-500F-4A48-B000-8D7705F47278}"/>
  <tableColumns count="13">
    <tableColumn id="1" xr3:uid="{A5425095-8293-41BF-BC7A-60AE42051157}" name="Student ID" dataDxfId="14"/>
    <tableColumn id="2" xr3:uid="{8ED84B60-9619-4216-9AF1-86098A502875}" name="Name" dataDxfId="13"/>
    <tableColumn id="3" xr3:uid="{7273D8ED-0E64-45C8-B56F-A5B960CA2F12}" name="Math" dataDxfId="12"/>
    <tableColumn id="4" xr3:uid="{7025B1CD-EF15-436E-9472-BB4AB03A5981}" name="Science" dataDxfId="11"/>
    <tableColumn id="5" xr3:uid="{94896FC0-8FDA-431D-9EEF-79A98E53B236}" name="English" dataDxfId="10"/>
    <tableColumn id="6" xr3:uid="{9D154896-E1C6-487E-B68A-1206D01C88D8}" name="Enrollment Date" dataDxfId="9"/>
    <tableColumn id="7" xr3:uid="{27719576-B78C-4842-925B-3316DBAD3382}" name="Total" dataDxfId="8">
      <calculatedColumnFormula>Table1[[#This Row],[Math]]+Table1[[#This Row],[Science]]+Table1[[#This Row],[English]]</calculatedColumnFormula>
    </tableColumn>
    <tableColumn id="8" xr3:uid="{17DAA4E2-9533-43B5-883C-2D3758028FDB}" name="Grade" dataDxfId="7">
      <calculatedColumnFormula>IF(Table1[[#This Row],[Total]]&gt;270,"A",IF(Table1[[#This Row],[Total]]&gt;240,"B",IF(Table1[[#This Row],[Total]]&gt;200,"C","D")))</calculatedColumnFormula>
    </tableColumn>
    <tableColumn id="9" xr3:uid="{DDF70C1F-9FCF-480F-B13E-A450364BAD1B}" name="SCI&gt;80 &amp;MATH&gt;80" dataDxfId="6">
      <calculatedColumnFormula>IF(AND(Table1[[#This Row],[Math]]&gt;80,Table1[[#This Row],[Science]]&gt;80,Table1[[#This Row],[Grade]]),"YES","NO")</calculatedColumnFormula>
    </tableColumn>
    <tableColumn id="10" xr3:uid="{3E9D4D73-27DF-433D-8C68-F3386F0F4050}" name="PERCENTAGE" dataDxfId="5">
      <calculatedColumnFormula>ROUND(Table1[[#This Row],[Total]]/300*100,3)</calculatedColumnFormula>
    </tableColumn>
    <tableColumn id="11" xr3:uid="{CC5C8114-A0F1-4DA2-939E-795679CB9B2F}" name="ROUND FUN" dataDxfId="4">
      <calculatedColumnFormula>ROUND(Table1[[#This Row],[PERCENTAGE]], 2)</calculatedColumnFormula>
    </tableColumn>
    <tableColumn id="12" xr3:uid="{864D4437-CF1E-4B56-BF49-32F513FD120A}" name="CEILING MATH" dataDxfId="3">
      <calculatedColumnFormula>CEILING(Table1[[#This Row],[Math]], 5)</calculatedColumnFormula>
    </tableColumn>
    <tableColumn id="13" xr3:uid="{946A6FC6-65C2-45E0-8410-3A64361EFBD7}" name="FLOOR MATH " dataDxfId="2">
      <calculatedColumnFormula>FLOOR(Table1[[#This Row],[Math]], 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B0593-CEA7-477B-A7C0-60D2C80256FC}" name="Table2" displayName="Table2" ref="A1:M21" totalsRowShown="0" headerRowDxfId="16" dataDxfId="15" headerRowBorderDxfId="35" tableBorderDxfId="33" totalsRowBorderDxfId="34">
  <autoFilter ref="A1:M21" xr:uid="{3B1B0593-CEA7-477B-A7C0-60D2C80256FC}"/>
  <tableColumns count="13">
    <tableColumn id="1" xr3:uid="{B189CB26-AE46-4486-AF48-472AE4BA4330}" name="Sales ID" dataDxfId="29"/>
    <tableColumn id="2" xr3:uid="{16F3CDDF-B17A-4492-8C36-26CF112BC6FA}" name="Product" dataDxfId="28"/>
    <tableColumn id="3" xr3:uid="{7EFBB5D1-D6E1-417A-B80A-58C24E55B3A7}" name="Region" dataDxfId="27"/>
    <tableColumn id="4" xr3:uid="{BB873A59-8946-4E69-81BF-278223CEDF44}" name="Salesperson" dataDxfId="26"/>
    <tableColumn id="5" xr3:uid="{74AC8677-E2A4-4CE9-BAEE-3FB674DFF025}" name="Amount" dataDxfId="25"/>
    <tableColumn id="6" xr3:uid="{2A54E84B-D40C-435E-A5BE-218E49808BF4}" name="Date" dataDxfId="24"/>
    <tableColumn id="8" xr3:uid="{88A11680-E916-4E53-80C0-3B2D11226301}" name="Discount" dataDxfId="23">
      <calculatedColumnFormula>IF(Table2[[#This Row],[Amount]]&gt;20000,10%,IF(Table2[[#This Row],[Amount]]&gt;15000,15%,IF(Table2[[#This Row],[Amount]]&gt;10000,10%,0%)))</calculatedColumnFormula>
    </tableColumn>
    <tableColumn id="9" xr3:uid="{70BDB63A-0048-4DB6-BFB7-3CFF303E3135}" name="Discount Amount" dataDxfId="22">
      <calculatedColumnFormula>Table2[[#This Row],[Amount]]*Table2[[#This Row],[Discount]]</calculatedColumnFormula>
    </tableColumn>
    <tableColumn id="10" xr3:uid="{6CE45CBC-F777-43E8-9FC4-35CE0FEB7AD2}" name="Eligibility" dataDxfId="21">
      <calculatedColumnFormula>IF(OR(Table2[[#This Row],[Amount]]&gt;5500,Table2[[#This Row],[Amount]]=5500),"Eligible", "Not Eligible")</calculatedColumnFormula>
    </tableColumn>
    <tableColumn id="11" xr3:uid="{7048D9D0-0F8C-4E9D-A998-761D1E9330C7}" name="PERFORMANCE" dataDxfId="20">
      <calculatedColumnFormula>IF(Table2[[#This Row],[Amount]]&gt;40000,"Excillent",IF(Table2[[#This Row],[Amount]]&gt;30000,"Good","Average"))</calculatedColumnFormula>
    </tableColumn>
    <tableColumn id="13" xr3:uid="{6EDA94DD-2722-4284-9906-8FCF5E4716D1}" name="ROUND FUNCTION" dataDxfId="19">
      <calculatedColumnFormula>ROUND(Table2[[#This Row],[Discount]],1)</calculatedColumnFormula>
    </tableColumn>
    <tableColumn id="14" xr3:uid="{9F973920-4197-4343-B0A4-BF169227C0F7}" name="CEILING FUNCTION" dataDxfId="18">
      <calculatedColumnFormula>CEILING(Table2[[#This Row],[Discount Amount]],5)</calculatedColumnFormula>
    </tableColumn>
    <tableColumn id="15" xr3:uid="{4734A960-A9A8-43FF-8294-1EB32D4F5B4A}" name="FLOOR FUNCTION" dataDxfId="17">
      <calculatedColumnFormula>FLOOR(Table2[[#This Row],[Discount Amount]],5)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107234-BA3B-4E97-B94A-AB892A6F88E4}" name="Table3" displayName="Table3" ref="A1:E21" totalsRowShown="0" headerRowDxfId="36" dataDxfId="37" headerRowBorderDxfId="41" tableBorderDxfId="42" totalsRowBorderDxfId="40">
  <autoFilter ref="A1:E21" xr:uid="{CF107234-BA3B-4E97-B94A-AB892A6F88E4}"/>
  <tableColumns count="5">
    <tableColumn id="1" xr3:uid="{5C27AD4A-30CD-4292-9044-6EB1A490F177}" name="Employee ID" dataDxfId="39"/>
    <tableColumn id="2" xr3:uid="{94C5F782-2DBA-489A-ACD5-05E03CA2B8ED}" name="Name" dataDxfId="38"/>
    <tableColumn id="3" xr3:uid="{5D7440FC-DD8A-4464-82FC-410BFA0E590F}" name="Department" dataDxfId="32"/>
    <tableColumn id="4" xr3:uid="{D9F212E0-CF30-49C8-BE3C-92C199FC1D08}" name="Salary" dataDxfId="31"/>
    <tableColumn id="5" xr3:uid="{B45BBD17-84AD-462B-8837-443B4D1BB9A2}" name="Joining Date" dataDxfId="3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1"/>
  <sheetViews>
    <sheetView zoomScale="96" workbookViewId="0">
      <selection activeCell="Q17" sqref="Q17"/>
    </sheetView>
  </sheetViews>
  <sheetFormatPr defaultRowHeight="15" x14ac:dyDescent="0.25"/>
  <cols>
    <col min="1" max="1" width="15.42578125" style="55" bestFit="1" customWidth="1"/>
    <col min="2" max="2" width="20.140625" style="55" bestFit="1" customWidth="1"/>
    <col min="3" max="3" width="11" style="55" bestFit="1" customWidth="1"/>
    <col min="4" max="4" width="11.7109375" style="55" bestFit="1" customWidth="1"/>
    <col min="5" max="5" width="12.5703125" style="55" bestFit="1" customWidth="1"/>
    <col min="6" max="6" width="16.85546875" style="55" bestFit="1" customWidth="1"/>
    <col min="7" max="7" width="10.7109375" style="55" bestFit="1" customWidth="1"/>
    <col min="8" max="8" width="9.5703125" style="55" bestFit="1" customWidth="1"/>
    <col min="9" max="9" width="16.42578125" style="55" customWidth="1"/>
    <col min="10" max="10" width="17.7109375" style="55" bestFit="1" customWidth="1"/>
    <col min="11" max="11" width="10.5703125" style="55" bestFit="1" customWidth="1"/>
    <col min="12" max="12" width="13.28515625" style="55" bestFit="1" customWidth="1"/>
    <col min="13" max="13" width="12" style="55" bestFit="1" customWidth="1"/>
    <col min="14" max="14" width="9.140625" style="55"/>
    <col min="15" max="15" width="10.140625" style="55" customWidth="1"/>
    <col min="16" max="18" width="9.140625" style="55"/>
    <col min="19" max="19" width="11.28515625" style="55" customWidth="1"/>
    <col min="20" max="16384" width="9.140625" style="55"/>
  </cols>
  <sheetData>
    <row r="1" spans="1:13" s="55" customFormat="1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3" t="s">
        <v>5</v>
      </c>
      <c r="G1" s="23" t="s">
        <v>90</v>
      </c>
      <c r="H1" s="23" t="s">
        <v>89</v>
      </c>
      <c r="I1" s="23" t="s">
        <v>93</v>
      </c>
      <c r="J1" s="23" t="s">
        <v>98</v>
      </c>
      <c r="K1" s="14" t="s">
        <v>114</v>
      </c>
      <c r="L1" s="14" t="s">
        <v>115</v>
      </c>
      <c r="M1" s="14" t="s">
        <v>116</v>
      </c>
    </row>
    <row r="2" spans="1:13" s="55" customFormat="1" ht="15.75" thickBot="1" x14ac:dyDescent="0.3">
      <c r="A2" s="4">
        <v>1001</v>
      </c>
      <c r="B2" s="5" t="s">
        <v>6</v>
      </c>
      <c r="C2" s="5">
        <v>61</v>
      </c>
      <c r="D2" s="5">
        <v>48</v>
      </c>
      <c r="E2" s="5">
        <v>76</v>
      </c>
      <c r="F2" s="22">
        <v>43101</v>
      </c>
      <c r="G2" s="13">
        <f>Table1[[#This Row],[Math]]+Table1[[#This Row],[Science]]+Table1[[#This Row],[English]]</f>
        <v>185</v>
      </c>
      <c r="H2" s="13" t="str">
        <f>IF(Table1[[#This Row],[Total]]&gt;270,"A",IF(Table1[[#This Row],[Total]]&gt;240,"B",IF(Table1[[#This Row],[Total]]&gt;200,"C","D")))</f>
        <v>D</v>
      </c>
      <c r="I2" s="21" t="str">
        <f>IF(AND(Table1[[#This Row],[Math]]&gt;80,Table1[[#This Row],[Science]]&gt;80,Table1[[#This Row],[Grade]]),"YES","NO")</f>
        <v>NO</v>
      </c>
      <c r="J2" s="21">
        <f>ROUND(Table1[[#This Row],[Total]]/300*100,3)</f>
        <v>61.667000000000002</v>
      </c>
      <c r="K2" s="21">
        <f>ROUND(Table1[[#This Row],[PERCENTAGE]], 2)</f>
        <v>61.67</v>
      </c>
      <c r="L2" s="28">
        <f>CEILING(Table1[[#This Row],[Math]], 5)</f>
        <v>65</v>
      </c>
      <c r="M2" s="28">
        <f>FLOOR(Table1[[#This Row],[Math]], 5)</f>
        <v>60</v>
      </c>
    </row>
    <row r="3" spans="1:13" s="55" customFormat="1" ht="15.75" thickBot="1" x14ac:dyDescent="0.3">
      <c r="A3" s="4">
        <v>1002</v>
      </c>
      <c r="B3" s="5" t="s">
        <v>7</v>
      </c>
      <c r="C3" s="5">
        <v>78</v>
      </c>
      <c r="D3" s="5">
        <v>76</v>
      </c>
      <c r="E3" s="5">
        <v>70</v>
      </c>
      <c r="F3" s="8">
        <v>43281</v>
      </c>
      <c r="G3" s="13">
        <f>Table1[[#This Row],[Math]]+Table1[[#This Row],[Science]]+Table1[[#This Row],[English]]</f>
        <v>224</v>
      </c>
      <c r="H3" s="13" t="str">
        <f>IF(Table1[[#This Row],[Total]]&gt;270,"A",IF(Table1[[#This Row],[Total]]&gt;240,"B",IF(Table1[[#This Row],[Total]]&gt;200,"C","D")))</f>
        <v>C</v>
      </c>
      <c r="I3" s="21" t="str">
        <f>IF(AND(Table1[[#This Row],[Math]]&gt;80,Table1[[#This Row],[Science]]&gt;80,Table1[[#This Row],[Grade]]),"YES","NO")</f>
        <v>NO</v>
      </c>
      <c r="J3" s="21">
        <f>ROUND(Table1[[#This Row],[Total]]/300*100,3)</f>
        <v>74.667000000000002</v>
      </c>
      <c r="K3" s="21">
        <f>ROUND(Table1[[#This Row],[PERCENTAGE]], 2)</f>
        <v>74.67</v>
      </c>
      <c r="L3" s="28">
        <f>CEILING(Table1[[#This Row],[Math]], 5)</f>
        <v>80</v>
      </c>
      <c r="M3" s="28">
        <f>FLOOR(Table1[[#This Row],[Math]], 5)</f>
        <v>75</v>
      </c>
    </row>
    <row r="4" spans="1:13" s="55" customFormat="1" ht="15.75" thickBot="1" x14ac:dyDescent="0.3">
      <c r="A4" s="4">
        <v>1003</v>
      </c>
      <c r="B4" s="5" t="s">
        <v>8</v>
      </c>
      <c r="C4" s="5">
        <v>97</v>
      </c>
      <c r="D4" s="5">
        <v>60</v>
      </c>
      <c r="E4" s="5">
        <v>51</v>
      </c>
      <c r="F4" s="8">
        <v>43461</v>
      </c>
      <c r="G4" s="13">
        <f>Table1[[#This Row],[Math]]+Table1[[#This Row],[Science]]+Table1[[#This Row],[English]]</f>
        <v>208</v>
      </c>
      <c r="H4" s="13" t="str">
        <f>IF(Table1[[#This Row],[Total]]&gt;270,"A",IF(Table1[[#This Row],[Total]]&gt;240,"B",IF(Table1[[#This Row],[Total]]&gt;200,"C","D")))</f>
        <v>C</v>
      </c>
      <c r="I4" s="21" t="str">
        <f>IF(AND(Table1[[#This Row],[Math]]&gt;80,Table1[[#This Row],[Science]]&gt;80,Table1[[#This Row],[Grade]]),"YES","NO")</f>
        <v>NO</v>
      </c>
      <c r="J4" s="21">
        <f>ROUND(Table1[[#This Row],[Total]]/300*100,3)</f>
        <v>69.332999999999998</v>
      </c>
      <c r="K4" s="21">
        <f>ROUND(Table1[[#This Row],[PERCENTAGE]], 2)</f>
        <v>69.33</v>
      </c>
      <c r="L4" s="28">
        <f>CEILING(Table1[[#This Row],[Math]], 5)</f>
        <v>100</v>
      </c>
      <c r="M4" s="28">
        <f>FLOOR(Table1[[#This Row],[Math]], 5)</f>
        <v>95</v>
      </c>
    </row>
    <row r="5" spans="1:13" s="55" customFormat="1" ht="15.75" thickBot="1" x14ac:dyDescent="0.3">
      <c r="A5" s="4">
        <v>1004</v>
      </c>
      <c r="B5" s="5" t="s">
        <v>9</v>
      </c>
      <c r="C5" s="5">
        <v>74</v>
      </c>
      <c r="D5" s="5">
        <v>55</v>
      </c>
      <c r="E5" s="5">
        <v>46</v>
      </c>
      <c r="F5" s="8">
        <v>43641</v>
      </c>
      <c r="G5" s="13">
        <f>Table1[[#This Row],[Math]]+Table1[[#This Row],[Science]]+Table1[[#This Row],[English]]</f>
        <v>175</v>
      </c>
      <c r="H5" s="13" t="str">
        <f>IF(Table1[[#This Row],[Total]]&gt;270,"A",IF(Table1[[#This Row],[Total]]&gt;240,"B",IF(Table1[[#This Row],[Total]]&gt;200,"C","D")))</f>
        <v>D</v>
      </c>
      <c r="I5" s="21" t="str">
        <f>IF(AND(Table1[[#This Row],[Math]]&gt;80,Table1[[#This Row],[Science]]&gt;80,Table1[[#This Row],[Grade]]),"YES","NO")</f>
        <v>NO</v>
      </c>
      <c r="J5" s="21">
        <f>ROUND(Table1[[#This Row],[Total]]/300*100,3)</f>
        <v>58.332999999999998</v>
      </c>
      <c r="K5" s="21">
        <f>ROUND(Table1[[#This Row],[PERCENTAGE]], 2)</f>
        <v>58.33</v>
      </c>
      <c r="L5" s="28">
        <f>CEILING(Table1[[#This Row],[Math]], 5)</f>
        <v>75</v>
      </c>
      <c r="M5" s="28">
        <f>FLOOR(Table1[[#This Row],[Math]], 5)</f>
        <v>70</v>
      </c>
    </row>
    <row r="6" spans="1:13" s="55" customFormat="1" ht="15.75" thickBot="1" x14ac:dyDescent="0.3">
      <c r="A6" s="4">
        <v>1005</v>
      </c>
      <c r="B6" s="5" t="s">
        <v>10</v>
      </c>
      <c r="C6" s="5">
        <v>68</v>
      </c>
      <c r="D6" s="5">
        <v>74</v>
      </c>
      <c r="E6" s="5">
        <v>84</v>
      </c>
      <c r="F6" s="8">
        <v>43821</v>
      </c>
      <c r="G6" s="13">
        <f>Table1[[#This Row],[Math]]+Table1[[#This Row],[Science]]+Table1[[#This Row],[English]]</f>
        <v>226</v>
      </c>
      <c r="H6" s="13" t="str">
        <f>IF(Table1[[#This Row],[Total]]&gt;270,"A",IF(Table1[[#This Row],[Total]]&gt;240,"B",IF(Table1[[#This Row],[Total]]&gt;200,"C","D")))</f>
        <v>C</v>
      </c>
      <c r="I6" s="21" t="str">
        <f>IF(AND(Table1[[#This Row],[Math]]&gt;80,Table1[[#This Row],[Science]]&gt;80,Table1[[#This Row],[Grade]]),"YES","NO")</f>
        <v>NO</v>
      </c>
      <c r="J6" s="21">
        <f>ROUND(Table1[[#This Row],[Total]]/300*100,3)</f>
        <v>75.332999999999998</v>
      </c>
      <c r="K6" s="21">
        <f>ROUND(Table1[[#This Row],[PERCENTAGE]], 2)</f>
        <v>75.33</v>
      </c>
      <c r="L6" s="28">
        <f>CEILING(Table1[[#This Row],[Math]], 5)</f>
        <v>70</v>
      </c>
      <c r="M6" s="28">
        <f>FLOOR(Table1[[#This Row],[Math]], 5)</f>
        <v>65</v>
      </c>
    </row>
    <row r="7" spans="1:13" s="55" customFormat="1" ht="15.75" thickBot="1" x14ac:dyDescent="0.3">
      <c r="A7" s="4">
        <v>1006</v>
      </c>
      <c r="B7" s="5" t="s">
        <v>11</v>
      </c>
      <c r="C7" s="5">
        <v>80</v>
      </c>
      <c r="D7" s="5">
        <v>70</v>
      </c>
      <c r="E7" s="5">
        <v>65</v>
      </c>
      <c r="F7" s="8">
        <v>44001</v>
      </c>
      <c r="G7" s="13">
        <f>Table1[[#This Row],[Math]]+Table1[[#This Row],[Science]]+Table1[[#This Row],[English]]</f>
        <v>215</v>
      </c>
      <c r="H7" s="13" t="str">
        <f>IF(Table1[[#This Row],[Total]]&gt;270,"A",IF(Table1[[#This Row],[Total]]&gt;240,"B",IF(Table1[[#This Row],[Total]]&gt;200,"C","D")))</f>
        <v>C</v>
      </c>
      <c r="I7" s="21" t="str">
        <f>IF(AND(Table1[[#This Row],[Math]]&gt;80,Table1[[#This Row],[Science]]&gt;80,Table1[[#This Row],[Grade]]),"YES","NO")</f>
        <v>NO</v>
      </c>
      <c r="J7" s="21">
        <f>ROUND(Table1[[#This Row],[Total]]/300*100,3)</f>
        <v>71.667000000000002</v>
      </c>
      <c r="K7" s="21">
        <f>ROUND(Table1[[#This Row],[PERCENTAGE]], 2)</f>
        <v>71.67</v>
      </c>
      <c r="L7" s="28">
        <f>CEILING(Table1[[#This Row],[Math]], 5)</f>
        <v>80</v>
      </c>
      <c r="M7" s="28">
        <f>FLOOR(Table1[[#This Row],[Math]], 5)</f>
        <v>80</v>
      </c>
    </row>
    <row r="8" spans="1:13" s="55" customFormat="1" ht="15.75" thickBot="1" x14ac:dyDescent="0.3">
      <c r="A8" s="4">
        <v>1007</v>
      </c>
      <c r="B8" s="5" t="s">
        <v>12</v>
      </c>
      <c r="C8" s="5">
        <v>75</v>
      </c>
      <c r="D8" s="5">
        <v>47</v>
      </c>
      <c r="E8" s="5">
        <v>78</v>
      </c>
      <c r="F8" s="8">
        <v>44181</v>
      </c>
      <c r="G8" s="13">
        <f>Table1[[#This Row],[Math]]+Table1[[#This Row],[Science]]+Table1[[#This Row],[English]]</f>
        <v>200</v>
      </c>
      <c r="H8" s="13" t="str">
        <f>IF(Table1[[#This Row],[Total]]&gt;270,"A",IF(Table1[[#This Row],[Total]]&gt;240,"B",IF(Table1[[#This Row],[Total]]&gt;200,"C","D")))</f>
        <v>D</v>
      </c>
      <c r="I8" s="21" t="str">
        <f>IF(AND(Table1[[#This Row],[Math]]&gt;80,Table1[[#This Row],[Science]]&gt;80,Table1[[#This Row],[Grade]]),"YES","NO")</f>
        <v>NO</v>
      </c>
      <c r="J8" s="21">
        <f>ROUND(Table1[[#This Row],[Total]]/300*100,3)</f>
        <v>66.667000000000002</v>
      </c>
      <c r="K8" s="21">
        <f>ROUND(Table1[[#This Row],[PERCENTAGE]], 2)</f>
        <v>66.67</v>
      </c>
      <c r="L8" s="28">
        <f>CEILING(Table1[[#This Row],[Math]], 5)</f>
        <v>75</v>
      </c>
      <c r="M8" s="28">
        <f>FLOOR(Table1[[#This Row],[Math]], 5)</f>
        <v>75</v>
      </c>
    </row>
    <row r="9" spans="1:13" s="55" customFormat="1" ht="15.75" thickBot="1" x14ac:dyDescent="0.3">
      <c r="A9" s="4">
        <v>1008</v>
      </c>
      <c r="B9" s="5" t="s">
        <v>13</v>
      </c>
      <c r="C9" s="5">
        <v>94</v>
      </c>
      <c r="D9" s="5">
        <v>67</v>
      </c>
      <c r="E9" s="5">
        <v>64</v>
      </c>
      <c r="F9" s="8">
        <v>44361</v>
      </c>
      <c r="G9" s="13">
        <f>Table1[[#This Row],[Math]]+Table1[[#This Row],[Science]]+Table1[[#This Row],[English]]</f>
        <v>225</v>
      </c>
      <c r="H9" s="13" t="str">
        <f>IF(Table1[[#This Row],[Total]]&gt;270,"A",IF(Table1[[#This Row],[Total]]&gt;240,"B",IF(Table1[[#This Row],[Total]]&gt;200,"C","D")))</f>
        <v>C</v>
      </c>
      <c r="I9" s="21" t="str">
        <f>IF(AND(Table1[[#This Row],[Math]]&gt;80,Table1[[#This Row],[Science]]&gt;80,Table1[[#This Row],[Grade]]),"YES","NO")</f>
        <v>NO</v>
      </c>
      <c r="J9" s="21">
        <f>ROUND(Table1[[#This Row],[Total]]/300*100,3)</f>
        <v>75</v>
      </c>
      <c r="K9" s="21">
        <f>ROUND(Table1[[#This Row],[PERCENTAGE]], 2)</f>
        <v>75</v>
      </c>
      <c r="L9" s="28">
        <f>CEILING(Table1[[#This Row],[Math]], 5)</f>
        <v>95</v>
      </c>
      <c r="M9" s="28">
        <f>FLOOR(Table1[[#This Row],[Math]], 5)</f>
        <v>90</v>
      </c>
    </row>
    <row r="10" spans="1:13" s="55" customFormat="1" ht="15.75" thickBot="1" x14ac:dyDescent="0.3">
      <c r="A10" s="4">
        <v>1009</v>
      </c>
      <c r="B10" s="5" t="s">
        <v>14</v>
      </c>
      <c r="C10" s="5">
        <v>41</v>
      </c>
      <c r="D10" s="5">
        <v>75</v>
      </c>
      <c r="E10" s="5">
        <v>56</v>
      </c>
      <c r="F10" s="8">
        <v>44541</v>
      </c>
      <c r="G10" s="13">
        <f>Table1[[#This Row],[Math]]+Table1[[#This Row],[Science]]+Table1[[#This Row],[English]]</f>
        <v>172</v>
      </c>
      <c r="H10" s="13" t="str">
        <f>IF(Table1[[#This Row],[Total]]&gt;270,"A",IF(Table1[[#This Row],[Total]]&gt;240,"B",IF(Table1[[#This Row],[Total]]&gt;200,"C","D")))</f>
        <v>D</v>
      </c>
      <c r="I10" s="21" t="str">
        <f>IF(AND(Table1[[#This Row],[Math]]&gt;80,Table1[[#This Row],[Science]]&gt;80,Table1[[#This Row],[Grade]]),"YES","NO")</f>
        <v>NO</v>
      </c>
      <c r="J10" s="21">
        <f>ROUND(Table1[[#This Row],[Total]]/300*100,3)</f>
        <v>57.332999999999998</v>
      </c>
      <c r="K10" s="21">
        <f>ROUND(Table1[[#This Row],[PERCENTAGE]], 2)</f>
        <v>57.33</v>
      </c>
      <c r="L10" s="28">
        <f>CEILING(Table1[[#This Row],[Math]], 5)</f>
        <v>45</v>
      </c>
      <c r="M10" s="28">
        <f>FLOOR(Table1[[#This Row],[Math]], 5)</f>
        <v>40</v>
      </c>
    </row>
    <row r="11" spans="1:13" s="55" customFormat="1" ht="15.75" thickBot="1" x14ac:dyDescent="0.3">
      <c r="A11" s="4">
        <v>1010</v>
      </c>
      <c r="B11" s="5" t="s">
        <v>15</v>
      </c>
      <c r="C11" s="5">
        <v>98</v>
      </c>
      <c r="D11" s="5">
        <v>54</v>
      </c>
      <c r="E11" s="5">
        <v>58</v>
      </c>
      <c r="F11" s="8">
        <v>44721</v>
      </c>
      <c r="G11" s="13">
        <f>Table1[[#This Row],[Math]]+Table1[[#This Row],[Science]]+Table1[[#This Row],[English]]</f>
        <v>210</v>
      </c>
      <c r="H11" s="13" t="str">
        <f>IF(Table1[[#This Row],[Total]]&gt;270,"A",IF(Table1[[#This Row],[Total]]&gt;240,"B",IF(Table1[[#This Row],[Total]]&gt;200,"C","D")))</f>
        <v>C</v>
      </c>
      <c r="I11" s="21" t="str">
        <f>IF(AND(Table1[[#This Row],[Math]]&gt;80,Table1[[#This Row],[Science]]&gt;80,Table1[[#This Row],[Grade]]),"YES","NO")</f>
        <v>NO</v>
      </c>
      <c r="J11" s="21">
        <f>ROUND(Table1[[#This Row],[Total]]/300*100,3)</f>
        <v>70</v>
      </c>
      <c r="K11" s="21">
        <f>ROUND(Table1[[#This Row],[PERCENTAGE]], 2)</f>
        <v>70</v>
      </c>
      <c r="L11" s="28">
        <f>CEILING(Table1[[#This Row],[Math]], 5)</f>
        <v>100</v>
      </c>
      <c r="M11" s="28">
        <f>FLOOR(Table1[[#This Row],[Math]], 5)</f>
        <v>95</v>
      </c>
    </row>
    <row r="12" spans="1:13" s="55" customFormat="1" ht="15.75" thickBot="1" x14ac:dyDescent="0.3">
      <c r="A12" s="4">
        <v>1011</v>
      </c>
      <c r="B12" s="5" t="s">
        <v>16</v>
      </c>
      <c r="C12" s="5">
        <v>73</v>
      </c>
      <c r="D12" s="5">
        <v>79</v>
      </c>
      <c r="E12" s="5">
        <v>53</v>
      </c>
      <c r="F12" s="8">
        <v>44901</v>
      </c>
      <c r="G12" s="13">
        <f>Table1[[#This Row],[Math]]+Table1[[#This Row],[Science]]+Table1[[#This Row],[English]]</f>
        <v>205</v>
      </c>
      <c r="H12" s="13" t="str">
        <f>IF(Table1[[#This Row],[Total]]&gt;270,"A",IF(Table1[[#This Row],[Total]]&gt;240,"B",IF(Table1[[#This Row],[Total]]&gt;200,"C","D")))</f>
        <v>C</v>
      </c>
      <c r="I12" s="21" t="str">
        <f>IF(AND(Table1[[#This Row],[Math]]&gt;80,Table1[[#This Row],[Science]]&gt;80,Table1[[#This Row],[Grade]]),"YES","NO")</f>
        <v>NO</v>
      </c>
      <c r="J12" s="21">
        <f>ROUND(Table1[[#This Row],[Total]]/300*100,3)</f>
        <v>68.332999999999998</v>
      </c>
      <c r="K12" s="21">
        <f>ROUND(Table1[[#This Row],[PERCENTAGE]], 2)</f>
        <v>68.33</v>
      </c>
      <c r="L12" s="28">
        <f>CEILING(Table1[[#This Row],[Math]], 5)</f>
        <v>75</v>
      </c>
      <c r="M12" s="28">
        <f>FLOOR(Table1[[#This Row],[Math]], 5)</f>
        <v>70</v>
      </c>
    </row>
    <row r="13" spans="1:13" s="55" customFormat="1" ht="15.75" thickBot="1" x14ac:dyDescent="0.3">
      <c r="A13" s="4">
        <v>1012</v>
      </c>
      <c r="B13" s="5" t="s">
        <v>17</v>
      </c>
      <c r="C13" s="5">
        <v>85</v>
      </c>
      <c r="D13" s="5">
        <v>89</v>
      </c>
      <c r="E13" s="5">
        <v>79</v>
      </c>
      <c r="F13" s="8">
        <v>45081</v>
      </c>
      <c r="G13" s="13">
        <f>Table1[[#This Row],[Math]]+Table1[[#This Row],[Science]]+Table1[[#This Row],[English]]</f>
        <v>253</v>
      </c>
      <c r="H13" s="13" t="str">
        <f>IF(Table1[[#This Row],[Total]]&gt;270,"A",IF(Table1[[#This Row],[Total]]&gt;240,"B",IF(Table1[[#This Row],[Total]]&gt;200,"C","D")))</f>
        <v>B</v>
      </c>
      <c r="I13" s="21" t="str">
        <f>IF(AND(Table1[[#This Row],[Math]]&gt;80,Table1[[#This Row],[Science]]&gt;80,Table1[[#This Row],[Grade]]),"YES","NO")</f>
        <v>YES</v>
      </c>
      <c r="J13" s="21">
        <f>ROUND(Table1[[#This Row],[Total]]/300*100,3)</f>
        <v>84.332999999999998</v>
      </c>
      <c r="K13" s="21">
        <f>ROUND(Table1[[#This Row],[PERCENTAGE]], 2)</f>
        <v>84.33</v>
      </c>
      <c r="L13" s="28">
        <f>CEILING(Table1[[#This Row],[Math]], 5)</f>
        <v>85</v>
      </c>
      <c r="M13" s="28">
        <f>FLOOR(Table1[[#This Row],[Math]], 5)</f>
        <v>85</v>
      </c>
    </row>
    <row r="14" spans="1:13" s="55" customFormat="1" ht="15.75" thickBot="1" x14ac:dyDescent="0.3">
      <c r="A14" s="4">
        <v>1013</v>
      </c>
      <c r="B14" s="5" t="s">
        <v>18</v>
      </c>
      <c r="C14" s="5">
        <v>98</v>
      </c>
      <c r="D14" s="5">
        <v>90</v>
      </c>
      <c r="E14" s="5">
        <v>97</v>
      </c>
      <c r="F14" s="8">
        <v>45261</v>
      </c>
      <c r="G14" s="13">
        <f>Table1[[#This Row],[Math]]+Table1[[#This Row],[Science]]+Table1[[#This Row],[English]]</f>
        <v>285</v>
      </c>
      <c r="H14" s="13" t="str">
        <f>IF(Table1[[#This Row],[Total]]&gt;270,"A",IF(Table1[[#This Row],[Total]]&gt;240,"B",IF(Table1[[#This Row],[Total]]&gt;200,"C","D")))</f>
        <v>A</v>
      </c>
      <c r="I14" s="21" t="str">
        <f>IF(AND(Table1[[#This Row],[Math]]&gt;80,Table1[[#This Row],[Science]]&gt;80,Table1[[#This Row],[Grade]]),"YES","NO")</f>
        <v>YES</v>
      </c>
      <c r="J14" s="21">
        <f>ROUND(Table1[[#This Row],[Total]]/300*100,3)</f>
        <v>95</v>
      </c>
      <c r="K14" s="21">
        <f>ROUND(Table1[[#This Row],[PERCENTAGE]], 2)</f>
        <v>95</v>
      </c>
      <c r="L14" s="28">
        <f>CEILING(Table1[[#This Row],[Math]], 5)</f>
        <v>100</v>
      </c>
      <c r="M14" s="28">
        <f>FLOOR(Table1[[#This Row],[Math]], 5)</f>
        <v>95</v>
      </c>
    </row>
    <row r="15" spans="1:13" s="55" customFormat="1" ht="15.75" thickBot="1" x14ac:dyDescent="0.3">
      <c r="A15" s="4">
        <v>1014</v>
      </c>
      <c r="B15" s="5" t="s">
        <v>19</v>
      </c>
      <c r="C15" s="5">
        <v>93</v>
      </c>
      <c r="D15" s="5">
        <v>40</v>
      </c>
      <c r="E15" s="5">
        <v>44</v>
      </c>
      <c r="F15" s="8">
        <v>45441</v>
      </c>
      <c r="G15" s="13">
        <f>Table1[[#This Row],[Math]]+Table1[[#This Row],[Science]]+Table1[[#This Row],[English]]</f>
        <v>177</v>
      </c>
      <c r="H15" s="13" t="str">
        <f>IF(Table1[[#This Row],[Total]]&gt;270,"A",IF(Table1[[#This Row],[Total]]&gt;240,"B",IF(Table1[[#This Row],[Total]]&gt;200,"C","D")))</f>
        <v>D</v>
      </c>
      <c r="I15" s="21" t="str">
        <f>IF(AND(Table1[[#This Row],[Math]]&gt;80,Table1[[#This Row],[Science]]&gt;80,Table1[[#This Row],[Grade]]),"YES","NO")</f>
        <v>NO</v>
      </c>
      <c r="J15" s="21">
        <f>ROUND(Table1[[#This Row],[Total]]/300*100,3)</f>
        <v>59</v>
      </c>
      <c r="K15" s="21">
        <f>ROUND(Table1[[#This Row],[PERCENTAGE]], 2)</f>
        <v>59</v>
      </c>
      <c r="L15" s="28">
        <f>CEILING(Table1[[#This Row],[Math]], 5)</f>
        <v>95</v>
      </c>
      <c r="M15" s="28">
        <f>FLOOR(Table1[[#This Row],[Math]], 5)</f>
        <v>90</v>
      </c>
    </row>
    <row r="16" spans="1:13" s="55" customFormat="1" ht="15.75" thickBot="1" x14ac:dyDescent="0.3">
      <c r="A16" s="4">
        <v>1015</v>
      </c>
      <c r="B16" s="5" t="s">
        <v>20</v>
      </c>
      <c r="C16" s="5">
        <v>70</v>
      </c>
      <c r="D16" s="5">
        <v>51</v>
      </c>
      <c r="E16" s="5">
        <v>75</v>
      </c>
      <c r="F16" s="8">
        <v>45621</v>
      </c>
      <c r="G16" s="13">
        <f>Table1[[#This Row],[Math]]+Table1[[#This Row],[Science]]+Table1[[#This Row],[English]]</f>
        <v>196</v>
      </c>
      <c r="H16" s="13" t="str">
        <f>IF(Table1[[#This Row],[Total]]&gt;270,"A",IF(Table1[[#This Row],[Total]]&gt;240,"B",IF(Table1[[#This Row],[Total]]&gt;200,"C","D")))</f>
        <v>D</v>
      </c>
      <c r="I16" s="21" t="str">
        <f>IF(AND(Table1[[#This Row],[Math]]&gt;80,Table1[[#This Row],[Science]]&gt;80,Table1[[#This Row],[Grade]]),"YES","NO")</f>
        <v>NO</v>
      </c>
      <c r="J16" s="21">
        <f>ROUND(Table1[[#This Row],[Total]]/300*100,3)</f>
        <v>65.332999999999998</v>
      </c>
      <c r="K16" s="21">
        <f>ROUND(Table1[[#This Row],[PERCENTAGE]], 2)</f>
        <v>65.33</v>
      </c>
      <c r="L16" s="28">
        <f>CEILING(Table1[[#This Row],[Math]], 5)</f>
        <v>70</v>
      </c>
      <c r="M16" s="28">
        <f>FLOOR(Table1[[#This Row],[Math]], 5)</f>
        <v>70</v>
      </c>
    </row>
    <row r="17" spans="1:13" s="55" customFormat="1" ht="15.75" thickBot="1" x14ac:dyDescent="0.3">
      <c r="A17" s="4">
        <v>1016</v>
      </c>
      <c r="B17" s="5" t="s">
        <v>21</v>
      </c>
      <c r="C17" s="5">
        <v>98</v>
      </c>
      <c r="D17" s="5">
        <v>77</v>
      </c>
      <c r="E17" s="5">
        <v>60</v>
      </c>
      <c r="F17" s="8">
        <v>45801</v>
      </c>
      <c r="G17" s="13">
        <f>Table1[[#This Row],[Math]]+Table1[[#This Row],[Science]]+Table1[[#This Row],[English]]</f>
        <v>235</v>
      </c>
      <c r="H17" s="13" t="str">
        <f>IF(Table1[[#This Row],[Total]]&gt;270,"A",IF(Table1[[#This Row],[Total]]&gt;240,"B",IF(Table1[[#This Row],[Total]]&gt;200,"C","D")))</f>
        <v>C</v>
      </c>
      <c r="I17" s="21" t="str">
        <f>IF(AND(Table1[[#This Row],[Math]]&gt;80,Table1[[#This Row],[Science]]&gt;80,Table1[[#This Row],[Grade]]),"YES","NO")</f>
        <v>NO</v>
      </c>
      <c r="J17" s="21">
        <f>ROUND(Table1[[#This Row],[Total]]/300*100,3)</f>
        <v>78.332999999999998</v>
      </c>
      <c r="K17" s="21">
        <f>ROUND(Table1[[#This Row],[PERCENTAGE]], 2)</f>
        <v>78.33</v>
      </c>
      <c r="L17" s="28">
        <f>CEILING(Table1[[#This Row],[Math]], 5)</f>
        <v>100</v>
      </c>
      <c r="M17" s="28">
        <f>FLOOR(Table1[[#This Row],[Math]], 5)</f>
        <v>95</v>
      </c>
    </row>
    <row r="18" spans="1:13" s="55" customFormat="1" ht="15.75" thickBot="1" x14ac:dyDescent="0.3">
      <c r="A18" s="4">
        <v>1017</v>
      </c>
      <c r="B18" s="5" t="s">
        <v>22</v>
      </c>
      <c r="C18" s="5">
        <v>66</v>
      </c>
      <c r="D18" s="5">
        <v>59</v>
      </c>
      <c r="E18" s="5">
        <v>40</v>
      </c>
      <c r="F18" s="8">
        <v>45981</v>
      </c>
      <c r="G18" s="13">
        <f>Table1[[#This Row],[Math]]+Table1[[#This Row],[Science]]+Table1[[#This Row],[English]]</f>
        <v>165</v>
      </c>
      <c r="H18" s="13" t="str">
        <f>IF(Table1[[#This Row],[Total]]&gt;270,"A",IF(Table1[[#This Row],[Total]]&gt;240,"B",IF(Table1[[#This Row],[Total]]&gt;200,"C","D")))</f>
        <v>D</v>
      </c>
      <c r="I18" s="21" t="str">
        <f>IF(AND(Table1[[#This Row],[Math]]&gt;80,Table1[[#This Row],[Science]]&gt;80,Table1[[#This Row],[Grade]]),"YES","NO")</f>
        <v>NO</v>
      </c>
      <c r="J18" s="21">
        <f>ROUND(Table1[[#This Row],[Total]]/300*100,3)</f>
        <v>55</v>
      </c>
      <c r="K18" s="21">
        <f>ROUND(Table1[[#This Row],[PERCENTAGE]], 2)</f>
        <v>55</v>
      </c>
      <c r="L18" s="28">
        <f>CEILING(Table1[[#This Row],[Math]], 5)</f>
        <v>70</v>
      </c>
      <c r="M18" s="28">
        <f>FLOOR(Table1[[#This Row],[Math]], 5)</f>
        <v>65</v>
      </c>
    </row>
    <row r="19" spans="1:13" s="55" customFormat="1" ht="15.75" thickBot="1" x14ac:dyDescent="0.3">
      <c r="A19" s="4">
        <v>1018</v>
      </c>
      <c r="B19" s="5" t="s">
        <v>23</v>
      </c>
      <c r="C19" s="5">
        <v>82</v>
      </c>
      <c r="D19" s="5">
        <v>48</v>
      </c>
      <c r="E19" s="5">
        <v>79</v>
      </c>
      <c r="F19" s="8">
        <v>46161</v>
      </c>
      <c r="G19" s="13">
        <f>Table1[[#This Row],[Math]]+Table1[[#This Row],[Science]]+Table1[[#This Row],[English]]</f>
        <v>209</v>
      </c>
      <c r="H19" s="13" t="str">
        <f>IF(Table1[[#This Row],[Total]]&gt;270,"A",IF(Table1[[#This Row],[Total]]&gt;240,"B",IF(Table1[[#This Row],[Total]]&gt;200,"C","D")))</f>
        <v>C</v>
      </c>
      <c r="I19" s="21" t="str">
        <f>IF(AND(Table1[[#This Row],[Math]]&gt;80,Table1[[#This Row],[Science]]&gt;80,Table1[[#This Row],[Grade]]),"YES","NO")</f>
        <v>NO</v>
      </c>
      <c r="J19" s="21">
        <f>ROUND(Table1[[#This Row],[Total]]/300*100,3)</f>
        <v>69.667000000000002</v>
      </c>
      <c r="K19" s="21">
        <f>ROUND(Table1[[#This Row],[PERCENTAGE]], 2)</f>
        <v>69.67</v>
      </c>
      <c r="L19" s="28">
        <f>CEILING(Table1[[#This Row],[Math]], 5)</f>
        <v>85</v>
      </c>
      <c r="M19" s="28">
        <f>FLOOR(Table1[[#This Row],[Math]], 5)</f>
        <v>80</v>
      </c>
    </row>
    <row r="20" spans="1:13" s="55" customFormat="1" ht="15.75" thickBot="1" x14ac:dyDescent="0.3">
      <c r="A20" s="4">
        <v>1019</v>
      </c>
      <c r="B20" s="5" t="s">
        <v>24</v>
      </c>
      <c r="C20" s="5">
        <v>90</v>
      </c>
      <c r="D20" s="5">
        <v>78</v>
      </c>
      <c r="E20" s="5">
        <v>60</v>
      </c>
      <c r="F20" s="8">
        <v>46341</v>
      </c>
      <c r="G20" s="13">
        <f>Table1[[#This Row],[Math]]+Table1[[#This Row],[Science]]+Table1[[#This Row],[English]]</f>
        <v>228</v>
      </c>
      <c r="H20" s="13" t="str">
        <f>IF(Table1[[#This Row],[Total]]&gt;270,"A",IF(Table1[[#This Row],[Total]]&gt;240,"B",IF(Table1[[#This Row],[Total]]&gt;200,"C","D")))</f>
        <v>C</v>
      </c>
      <c r="I20" s="21" t="str">
        <f>IF(AND(Table1[[#This Row],[Math]]&gt;80,Table1[[#This Row],[Science]]&gt;80,Table1[[#This Row],[Grade]]),"YES","NO")</f>
        <v>NO</v>
      </c>
      <c r="J20" s="21">
        <f>ROUND(Table1[[#This Row],[Total]]/300*100,3)</f>
        <v>76</v>
      </c>
      <c r="K20" s="21">
        <f>ROUND(Table1[[#This Row],[PERCENTAGE]], 2)</f>
        <v>76</v>
      </c>
      <c r="L20" s="28">
        <f>CEILING(Table1[[#This Row],[Math]], 5)</f>
        <v>90</v>
      </c>
      <c r="M20" s="28">
        <f>FLOOR(Table1[[#This Row],[Math]], 5)</f>
        <v>90</v>
      </c>
    </row>
    <row r="21" spans="1:13" s="55" customFormat="1" x14ac:dyDescent="0.25">
      <c r="A21" s="6">
        <v>1020</v>
      </c>
      <c r="B21" s="7" t="s">
        <v>25</v>
      </c>
      <c r="C21" s="7">
        <v>83</v>
      </c>
      <c r="D21" s="7">
        <v>92</v>
      </c>
      <c r="E21" s="7">
        <v>55</v>
      </c>
      <c r="F21" s="9">
        <v>46521</v>
      </c>
      <c r="G21" s="13">
        <f>Table1[[#This Row],[Math]]+Table1[[#This Row],[Science]]+Table1[[#This Row],[English]]</f>
        <v>230</v>
      </c>
      <c r="H21" s="13" t="str">
        <f>IF(Table1[[#This Row],[Total]]&gt;270,"A",IF(Table1[[#This Row],[Total]]&gt;240,"B",IF(Table1[[#This Row],[Total]]&gt;200,"C","D")))</f>
        <v>C</v>
      </c>
      <c r="I21" s="21" t="str">
        <f>IF(AND(Table1[[#This Row],[Math]]&gt;80,Table1[[#This Row],[Science]]&gt;80,Table1[[#This Row],[Grade]]),"YES","NO")</f>
        <v>YES</v>
      </c>
      <c r="J21" s="21">
        <f>ROUND(Table1[[#This Row],[Total]]/300*100,3)</f>
        <v>76.667000000000002</v>
      </c>
      <c r="K21" s="21">
        <f>ROUND(Table1[[#This Row],[PERCENTAGE]], 2)</f>
        <v>76.67</v>
      </c>
      <c r="L21" s="28">
        <f>CEILING(Table1[[#This Row],[Math]], 5)</f>
        <v>85</v>
      </c>
      <c r="M21" s="28">
        <f>FLOOR(Table1[[#This Row],[Math]], 5)</f>
        <v>80</v>
      </c>
    </row>
    <row r="24" spans="1:13" s="55" customFormat="1" x14ac:dyDescent="0.25">
      <c r="A24" s="56"/>
      <c r="B24" s="29" t="s">
        <v>95</v>
      </c>
      <c r="C24" s="30"/>
      <c r="D24" s="56"/>
      <c r="E24" s="29" t="s">
        <v>97</v>
      </c>
      <c r="F24" s="33"/>
      <c r="G24" s="33"/>
      <c r="H24" s="30"/>
      <c r="I24" s="56"/>
      <c r="J24" s="57" t="s">
        <v>121</v>
      </c>
      <c r="K24" s="57"/>
      <c r="L24" s="58"/>
      <c r="M24" s="56"/>
    </row>
    <row r="25" spans="1:13" s="55" customFormat="1" x14ac:dyDescent="0.25">
      <c r="A25" s="56"/>
      <c r="B25" s="31">
        <f>COUNTIFS(Table1[Math],"&gt;50")</f>
        <v>19</v>
      </c>
      <c r="C25" s="32"/>
      <c r="D25" s="56"/>
      <c r="E25" s="31">
        <f>AVERAGEIFS(Table1[PERCENTAGE],Table1[PERCENTAGE],"&gt;60")</f>
        <v>73.624999999999986</v>
      </c>
      <c r="F25" s="34"/>
      <c r="G25" s="34"/>
      <c r="H25" s="32"/>
      <c r="I25" s="56"/>
      <c r="J25" s="59">
        <v>1006</v>
      </c>
      <c r="K25" s="59" t="str">
        <f>VLOOKUP(J25,Table1[[Student ID]:[Name]],2)</f>
        <v>Student 6</v>
      </c>
      <c r="L25" s="59"/>
      <c r="M25" s="56"/>
    </row>
    <row r="26" spans="1:13" s="55" customFormat="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9">
        <v>1007</v>
      </c>
      <c r="K26" s="59" t="str">
        <f>VLOOKUP(J26,Table1[[Student ID]:[Name]],2)</f>
        <v>Student 7</v>
      </c>
      <c r="L26" s="59"/>
      <c r="M26" s="56"/>
    </row>
    <row r="27" spans="1:13" s="55" customForma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9">
        <v>1001</v>
      </c>
      <c r="K27" s="59" t="str">
        <f>VLOOKUP(J27,Table1[[Student ID]:[Name]],2)</f>
        <v>Student 1</v>
      </c>
      <c r="L27" s="59"/>
      <c r="M27" s="56"/>
    </row>
    <row r="28" spans="1:13" s="55" customForma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9">
        <v>1017</v>
      </c>
      <c r="K28" s="59" t="str">
        <f>VLOOKUP(J28,Table1[[Student ID]:[Name]],2)</f>
        <v>Student 17</v>
      </c>
      <c r="L28" s="59"/>
      <c r="M28" s="56"/>
    </row>
    <row r="29" spans="1:13" s="55" customFormat="1" x14ac:dyDescent="0.25">
      <c r="A29" s="60" t="s">
        <v>120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</row>
    <row r="30" spans="1:13" s="55" customFormat="1" x14ac:dyDescent="0.25">
      <c r="A30" s="59" cm="1">
        <f t="array" ref="A30:M31">_xlfn._xlws.FILTER(Table1[],Table1[PERCENTAGE]&gt;=80,"No top performers")</f>
        <v>1012</v>
      </c>
      <c r="B30" s="59" t="str">
        <v>Student 12</v>
      </c>
      <c r="C30" s="59">
        <v>85</v>
      </c>
      <c r="D30" s="59">
        <v>89</v>
      </c>
      <c r="E30" s="59">
        <v>79</v>
      </c>
      <c r="F30" s="59">
        <v>45081</v>
      </c>
      <c r="G30" s="59">
        <v>253</v>
      </c>
      <c r="H30" s="59" t="str">
        <v>B</v>
      </c>
      <c r="I30" s="59" t="str">
        <v>YES</v>
      </c>
      <c r="J30" s="59">
        <v>84.332999999999998</v>
      </c>
      <c r="K30" s="59">
        <v>84.33</v>
      </c>
      <c r="L30" s="59">
        <v>85</v>
      </c>
      <c r="M30" s="59">
        <v>85</v>
      </c>
    </row>
    <row r="31" spans="1:13" s="55" customFormat="1" x14ac:dyDescent="0.25">
      <c r="A31" s="59">
        <v>1013</v>
      </c>
      <c r="B31" s="59" t="str">
        <v>Student 13</v>
      </c>
      <c r="C31" s="59">
        <v>98</v>
      </c>
      <c r="D31" s="59">
        <v>90</v>
      </c>
      <c r="E31" s="59">
        <v>97</v>
      </c>
      <c r="F31" s="59">
        <v>45261</v>
      </c>
      <c r="G31" s="59">
        <v>285</v>
      </c>
      <c r="H31" s="59" t="str">
        <v>A</v>
      </c>
      <c r="I31" s="59" t="str">
        <v>YES</v>
      </c>
      <c r="J31" s="59">
        <v>95</v>
      </c>
      <c r="K31" s="59">
        <v>95</v>
      </c>
      <c r="L31" s="59">
        <v>100</v>
      </c>
      <c r="M31" s="59">
        <v>95</v>
      </c>
    </row>
  </sheetData>
  <mergeCells count="5">
    <mergeCell ref="A29:M29"/>
    <mergeCell ref="E24:H24"/>
    <mergeCell ref="E25:H25"/>
    <mergeCell ref="B25:C25"/>
    <mergeCell ref="B24:C2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E446-CAD5-41DC-A80F-C7A33468E1BC}">
  <sheetPr>
    <tabColor rgb="FFFFC000"/>
  </sheetPr>
  <dimension ref="A1:U39"/>
  <sheetViews>
    <sheetView tabSelected="1" topLeftCell="A10" workbookViewId="0">
      <selection activeCell="L26" sqref="L26"/>
    </sheetView>
  </sheetViews>
  <sheetFormatPr defaultRowHeight="15" x14ac:dyDescent="0.25"/>
  <cols>
    <col min="1" max="2" width="12.42578125" style="40" bestFit="1" customWidth="1"/>
    <col min="3" max="3" width="12.28515625" style="40" bestFit="1" customWidth="1"/>
    <col min="4" max="4" width="16.28515625" style="40" bestFit="1" customWidth="1"/>
    <col min="5" max="5" width="12.7109375" style="40" bestFit="1" customWidth="1"/>
    <col min="6" max="6" width="18.140625" style="40" bestFit="1" customWidth="1"/>
    <col min="7" max="8" width="13.28515625" style="40" bestFit="1" customWidth="1"/>
    <col min="9" max="10" width="16.42578125" style="40" customWidth="1"/>
    <col min="11" max="11" width="12.28515625" style="40" bestFit="1" customWidth="1"/>
    <col min="12" max="12" width="13.5703125" style="40" bestFit="1" customWidth="1"/>
    <col min="13" max="13" width="15" style="40" bestFit="1" customWidth="1"/>
    <col min="14" max="18" width="9.140625" style="40"/>
    <col min="19" max="19" width="10.7109375" style="40" bestFit="1" customWidth="1"/>
    <col min="20" max="16384" width="9.140625" style="40"/>
  </cols>
  <sheetData>
    <row r="1" spans="1:21" ht="30.75" thickBot="1" x14ac:dyDescent="0.3">
      <c r="A1" s="15" t="s">
        <v>26</v>
      </c>
      <c r="B1" s="16" t="s">
        <v>27</v>
      </c>
      <c r="C1" s="16" t="s">
        <v>28</v>
      </c>
      <c r="D1" s="16" t="s">
        <v>29</v>
      </c>
      <c r="E1" s="17" t="s">
        <v>30</v>
      </c>
      <c r="F1" s="19" t="s">
        <v>31</v>
      </c>
      <c r="G1" s="19" t="s">
        <v>91</v>
      </c>
      <c r="H1" s="20" t="s">
        <v>92</v>
      </c>
      <c r="I1" s="18" t="s">
        <v>94</v>
      </c>
      <c r="J1" s="18" t="s">
        <v>106</v>
      </c>
      <c r="K1" s="18" t="s">
        <v>118</v>
      </c>
      <c r="L1" s="18" t="s">
        <v>117</v>
      </c>
      <c r="M1" s="18" t="s">
        <v>119</v>
      </c>
    </row>
    <row r="2" spans="1:21" ht="15.75" thickBot="1" x14ac:dyDescent="0.3">
      <c r="A2" s="4">
        <v>2001</v>
      </c>
      <c r="B2" s="5" t="s">
        <v>32</v>
      </c>
      <c r="C2" s="5" t="s">
        <v>33</v>
      </c>
      <c r="D2" s="5" t="s">
        <v>34</v>
      </c>
      <c r="E2" s="36">
        <v>7048</v>
      </c>
      <c r="F2" s="24">
        <v>44927</v>
      </c>
      <c r="G2" s="38">
        <f>IF(Table2[[#This Row],[Amount]]&gt;20000,10%,IF(Table2[[#This Row],[Amount]]&gt;15000,15%,IF(Table2[[#This Row],[Amount]]&gt;10000,10%,0%)))</f>
        <v>0</v>
      </c>
      <c r="H2" s="35">
        <f>Table2[[#This Row],[Amount]]*Table2[[#This Row],[Discount]]</f>
        <v>0</v>
      </c>
      <c r="I2" s="21" t="str">
        <f>IF(OR(Table2[[#This Row],[Amount]]&gt;5500,Table2[[#This Row],[Amount]]=5500),"Eligible", "Not Eligible")</f>
        <v>Eligible</v>
      </c>
      <c r="J2" s="21" t="str">
        <f>IF(Table2[[#This Row],[Amount]]&gt;40000,"Excillent",IF(Table2[[#This Row],[Amount]]&gt;30000,"Good","Average"))</f>
        <v>Average</v>
      </c>
      <c r="K2" s="39">
        <f>ROUND(Table2[[#This Row],[Discount]],1)</f>
        <v>0</v>
      </c>
      <c r="L2" s="21">
        <f>CEILING(Table2[[#This Row],[Discount Amount]],5)</f>
        <v>0</v>
      </c>
      <c r="M2" s="21">
        <f>FLOOR(Table2[[#This Row],[Discount Amount]],5)</f>
        <v>0</v>
      </c>
    </row>
    <row r="3" spans="1:21" ht="15.75" thickBot="1" x14ac:dyDescent="0.3">
      <c r="A3" s="4">
        <v>2002</v>
      </c>
      <c r="B3" s="5" t="s">
        <v>35</v>
      </c>
      <c r="C3" s="5" t="s">
        <v>36</v>
      </c>
      <c r="D3" s="5" t="s">
        <v>37</v>
      </c>
      <c r="E3" s="36">
        <v>17428</v>
      </c>
      <c r="F3" s="25">
        <v>44942</v>
      </c>
      <c r="G3" s="38">
        <f>IF(Table2[[#This Row],[Amount]]&gt;20000,10%,IF(Table2[[#This Row],[Amount]]&gt;15000,15%,IF(Table2[[#This Row],[Amount]]&gt;10000,10%,0%)))</f>
        <v>0.15</v>
      </c>
      <c r="H3" s="35">
        <f>Table2[[#This Row],[Amount]]*Table2[[#This Row],[Discount]]</f>
        <v>2614.1999999999998</v>
      </c>
      <c r="I3" s="21" t="str">
        <f>IF(OR(Table2[[#This Row],[Amount]]&gt;5500,Table2[[#This Row],[Amount]]=5500),"Eligible", "Not Eligible")</f>
        <v>Eligible</v>
      </c>
      <c r="J3" s="21" t="str">
        <f>IF(Table2[[#This Row],[Amount]]&gt;40000,"Excillent",IF(Table2[[#This Row],[Amount]]&gt;30000,"Good","Average"))</f>
        <v>Average</v>
      </c>
      <c r="K3" s="39">
        <f>ROUND(Table2[[#This Row],[Discount]],1)</f>
        <v>0.2</v>
      </c>
      <c r="L3" s="21">
        <f>CEILING(Table2[[#This Row],[Discount Amount]],5)</f>
        <v>2615</v>
      </c>
      <c r="M3" s="21">
        <f>FLOOR(Table2[[#This Row],[Discount Amount]],5)</f>
        <v>2610</v>
      </c>
      <c r="O3" s="41" t="s">
        <v>96</v>
      </c>
      <c r="P3" s="41"/>
      <c r="Q3" s="41"/>
      <c r="R3" s="41"/>
      <c r="S3" s="41"/>
    </row>
    <row r="4" spans="1:21" ht="15.75" thickBot="1" x14ac:dyDescent="0.3">
      <c r="A4" s="4">
        <v>2003</v>
      </c>
      <c r="B4" s="5" t="s">
        <v>38</v>
      </c>
      <c r="C4" s="5" t="s">
        <v>33</v>
      </c>
      <c r="D4" s="5" t="s">
        <v>39</v>
      </c>
      <c r="E4" s="36">
        <v>23672</v>
      </c>
      <c r="F4" s="25">
        <v>44957</v>
      </c>
      <c r="G4" s="38">
        <f>IF(Table2[[#This Row],[Amount]]&gt;20000,10%,IF(Table2[[#This Row],[Amount]]&gt;15000,15%,IF(Table2[[#This Row],[Amount]]&gt;10000,10%,0%)))</f>
        <v>0.1</v>
      </c>
      <c r="H4" s="35">
        <f>Table2[[#This Row],[Amount]]*Table2[[#This Row],[Discount]]</f>
        <v>2367.2000000000003</v>
      </c>
      <c r="I4" s="21" t="str">
        <f>IF(OR(Table2[[#This Row],[Amount]]&gt;5500,Table2[[#This Row],[Amount]]=5500),"Eligible", "Not Eligible")</f>
        <v>Eligible</v>
      </c>
      <c r="J4" s="21" t="str">
        <f>IF(Table2[[#This Row],[Amount]]&gt;40000,"Excillent",IF(Table2[[#This Row],[Amount]]&gt;30000,"Good","Average"))</f>
        <v>Average</v>
      </c>
      <c r="K4" s="39">
        <f>ROUND(Table2[[#This Row],[Discount]],1)</f>
        <v>0.1</v>
      </c>
      <c r="L4" s="21">
        <f>CEILING(Table2[[#This Row],[Discount Amount]],5)</f>
        <v>2370</v>
      </c>
      <c r="M4" s="21">
        <f>FLOOR(Table2[[#This Row],[Discount Amount]],5)</f>
        <v>2365</v>
      </c>
      <c r="O4" s="42">
        <f>SUMIFS(Table2[Amount],Table2[Product],"Mouse",Table2[Region],"South")</f>
        <v>23672</v>
      </c>
      <c r="P4" s="42"/>
      <c r="Q4" s="42"/>
      <c r="R4" s="42"/>
      <c r="S4" s="42"/>
    </row>
    <row r="5" spans="1:21" ht="15.75" thickBot="1" x14ac:dyDescent="0.3">
      <c r="A5" s="4">
        <v>2004</v>
      </c>
      <c r="B5" s="5" t="s">
        <v>35</v>
      </c>
      <c r="C5" s="5" t="s">
        <v>40</v>
      </c>
      <c r="D5" s="5" t="s">
        <v>41</v>
      </c>
      <c r="E5" s="36">
        <v>5264</v>
      </c>
      <c r="F5" s="25">
        <v>44972</v>
      </c>
      <c r="G5" s="38">
        <f>IF(Table2[[#This Row],[Amount]]&gt;20000,10%,IF(Table2[[#This Row],[Amount]]&gt;15000,15%,IF(Table2[[#This Row],[Amount]]&gt;10000,10%,0%)))</f>
        <v>0</v>
      </c>
      <c r="H5" s="35">
        <f>Table2[[#This Row],[Amount]]*Table2[[#This Row],[Discount]]</f>
        <v>0</v>
      </c>
      <c r="I5" s="21" t="str">
        <f>IF(OR(Table2[[#This Row],[Amount]]&gt;5500,Table2[[#This Row],[Amount]]=5500),"Eligible", "Not Eligible")</f>
        <v>Not Eligible</v>
      </c>
      <c r="J5" s="21" t="str">
        <f>IF(Table2[[#This Row],[Amount]]&gt;40000,"Excillent",IF(Table2[[#This Row],[Amount]]&gt;30000,"Good","Average"))</f>
        <v>Average</v>
      </c>
      <c r="K5" s="39">
        <f>ROUND(Table2[[#This Row],[Discount]],1)</f>
        <v>0</v>
      </c>
      <c r="L5" s="21">
        <f>CEILING(Table2[[#This Row],[Discount Amount]],5)</f>
        <v>0</v>
      </c>
      <c r="M5" s="21">
        <f>FLOOR(Table2[[#This Row],[Discount Amount]],5)</f>
        <v>0</v>
      </c>
    </row>
    <row r="6" spans="1:21" ht="15.75" thickBot="1" x14ac:dyDescent="0.3">
      <c r="A6" s="4">
        <v>2005</v>
      </c>
      <c r="B6" s="5" t="s">
        <v>32</v>
      </c>
      <c r="C6" s="5" t="s">
        <v>42</v>
      </c>
      <c r="D6" s="5" t="s">
        <v>43</v>
      </c>
      <c r="E6" s="36">
        <v>43388</v>
      </c>
      <c r="F6" s="25">
        <v>44987</v>
      </c>
      <c r="G6" s="38">
        <f>IF(Table2[[#This Row],[Amount]]&gt;20000,10%,IF(Table2[[#This Row],[Amount]]&gt;15000,15%,IF(Table2[[#This Row],[Amount]]&gt;10000,10%,0%)))</f>
        <v>0.1</v>
      </c>
      <c r="H6" s="35">
        <f>Table2[[#This Row],[Amount]]*Table2[[#This Row],[Discount]]</f>
        <v>4338.8</v>
      </c>
      <c r="I6" s="21" t="str">
        <f>IF(OR(Table2[[#This Row],[Amount]]&gt;5500,Table2[[#This Row],[Amount]]=5500),"Eligible", "Not Eligible")</f>
        <v>Eligible</v>
      </c>
      <c r="J6" s="21" t="str">
        <f>IF(Table2[[#This Row],[Amount]]&gt;40000,"Excillent",IF(Table2[[#This Row],[Amount]]&gt;30000,"Good","Average"))</f>
        <v>Excillent</v>
      </c>
      <c r="K6" s="39">
        <f>ROUND(Table2[[#This Row],[Discount]],1)</f>
        <v>0.1</v>
      </c>
      <c r="L6" s="21">
        <f>CEILING(Table2[[#This Row],[Discount Amount]],5)</f>
        <v>4340</v>
      </c>
      <c r="M6" s="21">
        <f>FLOOR(Table2[[#This Row],[Discount Amount]],5)</f>
        <v>4335</v>
      </c>
    </row>
    <row r="7" spans="1:21" ht="15.75" thickBot="1" x14ac:dyDescent="0.3">
      <c r="A7" s="4">
        <v>2006</v>
      </c>
      <c r="B7" s="5" t="s">
        <v>38</v>
      </c>
      <c r="C7" s="5" t="s">
        <v>42</v>
      </c>
      <c r="D7" s="5" t="s">
        <v>44</v>
      </c>
      <c r="E7" s="36">
        <v>19757</v>
      </c>
      <c r="F7" s="25">
        <v>45002</v>
      </c>
      <c r="G7" s="38">
        <f>IF(Table2[[#This Row],[Amount]]&gt;20000,10%,IF(Table2[[#This Row],[Amount]]&gt;15000,15%,IF(Table2[[#This Row],[Amount]]&gt;10000,10%,0%)))</f>
        <v>0.15</v>
      </c>
      <c r="H7" s="35">
        <f>Table2[[#This Row],[Amount]]*Table2[[#This Row],[Discount]]</f>
        <v>2963.5499999999997</v>
      </c>
      <c r="I7" s="21" t="str">
        <f>IF(OR(Table2[[#This Row],[Amount]]&gt;5500,Table2[[#This Row],[Amount]]=5500),"Eligible", "Not Eligible")</f>
        <v>Eligible</v>
      </c>
      <c r="J7" s="21" t="str">
        <f>IF(Table2[[#This Row],[Amount]]&gt;40000,"Excillent",IF(Table2[[#This Row],[Amount]]&gt;30000,"Good","Average"))</f>
        <v>Average</v>
      </c>
      <c r="K7" s="39">
        <f>ROUND(Table2[[#This Row],[Discount]],1)</f>
        <v>0.2</v>
      </c>
      <c r="L7" s="21">
        <f>CEILING(Table2[[#This Row],[Discount Amount]],5)</f>
        <v>2965</v>
      </c>
      <c r="M7" s="21">
        <f>FLOOR(Table2[[#This Row],[Discount Amount]],5)</f>
        <v>2960</v>
      </c>
      <c r="O7" s="43"/>
      <c r="P7" s="43"/>
      <c r="Q7" s="43" t="s">
        <v>99</v>
      </c>
      <c r="R7" s="43"/>
      <c r="S7" s="43"/>
    </row>
    <row r="8" spans="1:21" ht="15.75" thickBot="1" x14ac:dyDescent="0.3">
      <c r="A8" s="4">
        <v>2007</v>
      </c>
      <c r="B8" s="5" t="s">
        <v>38</v>
      </c>
      <c r="C8" s="5" t="s">
        <v>40</v>
      </c>
      <c r="D8" s="5" t="s">
        <v>45</v>
      </c>
      <c r="E8" s="36">
        <v>32058</v>
      </c>
      <c r="F8" s="25">
        <v>45017</v>
      </c>
      <c r="G8" s="38">
        <f>IF(Table2[[#This Row],[Amount]]&gt;20000,10%,IF(Table2[[#This Row],[Amount]]&gt;15000,15%,IF(Table2[[#This Row],[Amount]]&gt;10000,10%,0%)))</f>
        <v>0.1</v>
      </c>
      <c r="H8" s="35">
        <f>Table2[[#This Row],[Amount]]*Table2[[#This Row],[Discount]]</f>
        <v>3205.8</v>
      </c>
      <c r="I8" s="21" t="str">
        <f>IF(OR(Table2[[#This Row],[Amount]]&gt;5500,Table2[[#This Row],[Amount]]=5500),"Eligible", "Not Eligible")</f>
        <v>Eligible</v>
      </c>
      <c r="J8" s="21" t="str">
        <f>IF(Table2[[#This Row],[Amount]]&gt;40000,"Excillent",IF(Table2[[#This Row],[Amount]]&gt;30000,"Good","Average"))</f>
        <v>Good</v>
      </c>
      <c r="K8" s="39">
        <f>ROUND(Table2[[#This Row],[Discount]],1)</f>
        <v>0.1</v>
      </c>
      <c r="L8" s="21">
        <f>CEILING(Table2[[#This Row],[Discount Amount]],5)</f>
        <v>3210</v>
      </c>
      <c r="M8" s="21">
        <f>FLOOR(Table2[[#This Row],[Discount Amount]],5)</f>
        <v>3205</v>
      </c>
      <c r="O8" s="44"/>
      <c r="P8" s="44"/>
      <c r="Q8" s="44">
        <v>2009</v>
      </c>
      <c r="R8" s="44" t="str">
        <f>VLOOKUP(Q8,Table2[[Sales ID]:[Product]],2)</f>
        <v>Printer</v>
      </c>
      <c r="S8" s="44"/>
    </row>
    <row r="9" spans="1:21" ht="15.75" thickBot="1" x14ac:dyDescent="0.3">
      <c r="A9" s="4">
        <v>2008</v>
      </c>
      <c r="B9" s="5" t="s">
        <v>32</v>
      </c>
      <c r="C9" s="5" t="s">
        <v>40</v>
      </c>
      <c r="D9" s="5" t="s">
        <v>46</v>
      </c>
      <c r="E9" s="36">
        <v>46429</v>
      </c>
      <c r="F9" s="25">
        <v>45032</v>
      </c>
      <c r="G9" s="38">
        <f>IF(Table2[[#This Row],[Amount]]&gt;20000,10%,IF(Table2[[#This Row],[Amount]]&gt;15000,15%,IF(Table2[[#This Row],[Amount]]&gt;10000,10%,0%)))</f>
        <v>0.1</v>
      </c>
      <c r="H9" s="35">
        <f>Table2[[#This Row],[Amount]]*Table2[[#This Row],[Discount]]</f>
        <v>4642.9000000000005</v>
      </c>
      <c r="I9" s="21" t="str">
        <f>IF(OR(Table2[[#This Row],[Amount]]&gt;5500,Table2[[#This Row],[Amount]]=5500),"Eligible", "Not Eligible")</f>
        <v>Eligible</v>
      </c>
      <c r="J9" s="21" t="str">
        <f>IF(Table2[[#This Row],[Amount]]&gt;40000,"Excillent",IF(Table2[[#This Row],[Amount]]&gt;30000,"Good","Average"))</f>
        <v>Excillent</v>
      </c>
      <c r="K9" s="39">
        <f>ROUND(Table2[[#This Row],[Discount]],1)</f>
        <v>0.1</v>
      </c>
      <c r="L9" s="21">
        <f>CEILING(Table2[[#This Row],[Discount Amount]],5)</f>
        <v>4645</v>
      </c>
      <c r="M9" s="21">
        <f>FLOOR(Table2[[#This Row],[Discount Amount]],5)</f>
        <v>4640</v>
      </c>
      <c r="O9" s="44"/>
      <c r="P9" s="44"/>
      <c r="Q9" s="44">
        <v>2014</v>
      </c>
      <c r="R9" s="44" t="str">
        <f>VLOOKUP(Q9,Table2[[Sales ID]:[Product]],2)</f>
        <v>Laptop</v>
      </c>
      <c r="S9" s="44"/>
    </row>
    <row r="10" spans="1:21" ht="15.75" thickBot="1" x14ac:dyDescent="0.3">
      <c r="A10" s="4">
        <v>2009</v>
      </c>
      <c r="B10" s="5" t="s">
        <v>35</v>
      </c>
      <c r="C10" s="5" t="s">
        <v>40</v>
      </c>
      <c r="D10" s="5" t="s">
        <v>47</v>
      </c>
      <c r="E10" s="36">
        <v>19746</v>
      </c>
      <c r="F10" s="25">
        <v>45047</v>
      </c>
      <c r="G10" s="38">
        <f>IF(Table2[[#This Row],[Amount]]&gt;20000,10%,IF(Table2[[#This Row],[Amount]]&gt;15000,15%,IF(Table2[[#This Row],[Amount]]&gt;10000,10%,0%)))</f>
        <v>0.15</v>
      </c>
      <c r="H10" s="35">
        <f>Table2[[#This Row],[Amount]]*Table2[[#This Row],[Discount]]</f>
        <v>2961.9</v>
      </c>
      <c r="I10" s="21" t="str">
        <f>IF(OR(Table2[[#This Row],[Amount]]&gt;5500,Table2[[#This Row],[Amount]]=5500),"Eligible", "Not Eligible")</f>
        <v>Eligible</v>
      </c>
      <c r="J10" s="21" t="str">
        <f>IF(Table2[[#This Row],[Amount]]&gt;40000,"Excillent",IF(Table2[[#This Row],[Amount]]&gt;30000,"Good","Average"))</f>
        <v>Average</v>
      </c>
      <c r="K10" s="39">
        <f>ROUND(Table2[[#This Row],[Discount]],1)</f>
        <v>0.2</v>
      </c>
      <c r="L10" s="21">
        <f>CEILING(Table2[[#This Row],[Discount Amount]],5)</f>
        <v>2965</v>
      </c>
      <c r="M10" s="21">
        <f>FLOOR(Table2[[#This Row],[Discount Amount]],5)</f>
        <v>2960</v>
      </c>
      <c r="O10" s="44"/>
      <c r="P10" s="44"/>
      <c r="Q10" s="44">
        <v>2019</v>
      </c>
      <c r="R10" s="44" t="str">
        <f>VLOOKUP(Q10,Table2[[Sales ID]:[Product]],2)</f>
        <v>Mouse</v>
      </c>
      <c r="S10" s="44"/>
    </row>
    <row r="11" spans="1:21" ht="15.75" thickBot="1" x14ac:dyDescent="0.3">
      <c r="A11" s="4">
        <v>2010</v>
      </c>
      <c r="B11" s="5" t="s">
        <v>32</v>
      </c>
      <c r="C11" s="5" t="s">
        <v>33</v>
      </c>
      <c r="D11" s="5" t="s">
        <v>48</v>
      </c>
      <c r="E11" s="36">
        <v>35185</v>
      </c>
      <c r="F11" s="25">
        <v>45062</v>
      </c>
      <c r="G11" s="38">
        <f>IF(Table2[[#This Row],[Amount]]&gt;20000,10%,IF(Table2[[#This Row],[Amount]]&gt;15000,15%,IF(Table2[[#This Row],[Amount]]&gt;10000,10%,0%)))</f>
        <v>0.1</v>
      </c>
      <c r="H11" s="35">
        <f>Table2[[#This Row],[Amount]]*Table2[[#This Row],[Discount]]</f>
        <v>3518.5</v>
      </c>
      <c r="I11" s="21" t="str">
        <f>IF(OR(Table2[[#This Row],[Amount]]&gt;5500,Table2[[#This Row],[Amount]]=5500),"Eligible", "Not Eligible")</f>
        <v>Eligible</v>
      </c>
      <c r="J11" s="21" t="str">
        <f>IF(Table2[[#This Row],[Amount]]&gt;40000,"Excillent",IF(Table2[[#This Row],[Amount]]&gt;30000,"Good","Average"))</f>
        <v>Good</v>
      </c>
      <c r="K11" s="39">
        <f>ROUND(Table2[[#This Row],[Discount]],1)</f>
        <v>0.1</v>
      </c>
      <c r="L11" s="21">
        <f>CEILING(Table2[[#This Row],[Discount Amount]],5)</f>
        <v>3520</v>
      </c>
      <c r="M11" s="21">
        <f>FLOOR(Table2[[#This Row],[Discount Amount]],5)</f>
        <v>3515</v>
      </c>
      <c r="O11" s="44"/>
      <c r="P11" s="44"/>
      <c r="Q11" s="44">
        <v>20017</v>
      </c>
      <c r="R11" s="44" t="str">
        <f>VLOOKUP(Q11,Table2[[Sales ID]:[Product]],2)</f>
        <v>Printer</v>
      </c>
      <c r="S11" s="44"/>
    </row>
    <row r="12" spans="1:21" ht="15.75" thickBot="1" x14ac:dyDescent="0.3">
      <c r="A12" s="4">
        <v>2011</v>
      </c>
      <c r="B12" s="5" t="s">
        <v>32</v>
      </c>
      <c r="C12" s="5" t="s">
        <v>40</v>
      </c>
      <c r="D12" s="5" t="s">
        <v>49</v>
      </c>
      <c r="E12" s="36">
        <v>33920</v>
      </c>
      <c r="F12" s="25">
        <v>45077</v>
      </c>
      <c r="G12" s="38">
        <f>IF(Table2[[#This Row],[Amount]]&gt;20000,10%,IF(Table2[[#This Row],[Amount]]&gt;15000,15%,IF(Table2[[#This Row],[Amount]]&gt;10000,10%,0%)))</f>
        <v>0.1</v>
      </c>
      <c r="H12" s="35">
        <f>Table2[[#This Row],[Amount]]*Table2[[#This Row],[Discount]]</f>
        <v>3392</v>
      </c>
      <c r="I12" s="21" t="str">
        <f>IF(OR(Table2[[#This Row],[Amount]]&gt;5500,Table2[[#This Row],[Amount]]=5500),"Eligible", "Not Eligible")</f>
        <v>Eligible</v>
      </c>
      <c r="J12" s="21" t="str">
        <f>IF(Table2[[#This Row],[Amount]]&gt;40000,"Excillent",IF(Table2[[#This Row],[Amount]]&gt;30000,"Good","Average"))</f>
        <v>Good</v>
      </c>
      <c r="K12" s="39">
        <f>ROUND(Table2[[#This Row],[Discount]],1)</f>
        <v>0.1</v>
      </c>
      <c r="L12" s="21">
        <f>CEILING(Table2[[#This Row],[Discount Amount]],5)</f>
        <v>3395</v>
      </c>
      <c r="M12" s="21">
        <f>FLOOR(Table2[[#This Row],[Discount Amount]],5)</f>
        <v>3390</v>
      </c>
    </row>
    <row r="13" spans="1:21" ht="15.75" thickBot="1" x14ac:dyDescent="0.3">
      <c r="A13" s="4">
        <v>2012</v>
      </c>
      <c r="B13" s="5" t="s">
        <v>50</v>
      </c>
      <c r="C13" s="5" t="s">
        <v>42</v>
      </c>
      <c r="D13" s="5" t="s">
        <v>51</v>
      </c>
      <c r="E13" s="36">
        <v>35611</v>
      </c>
      <c r="F13" s="25">
        <v>45092</v>
      </c>
      <c r="G13" s="38">
        <f>IF(Table2[[#This Row],[Amount]]&gt;20000,10%,IF(Table2[[#This Row],[Amount]]&gt;15000,15%,IF(Table2[[#This Row],[Amount]]&gt;10000,10%,0%)))</f>
        <v>0.1</v>
      </c>
      <c r="H13" s="35">
        <f>Table2[[#This Row],[Amount]]*Table2[[#This Row],[Discount]]</f>
        <v>3561.1000000000004</v>
      </c>
      <c r="I13" s="21" t="str">
        <f>IF(OR(Table2[[#This Row],[Amount]]&gt;5500,Table2[[#This Row],[Amount]]=5500),"Eligible", "Not Eligible")</f>
        <v>Eligible</v>
      </c>
      <c r="J13" s="21" t="str">
        <f>IF(Table2[[#This Row],[Amount]]&gt;40000,"Excillent",IF(Table2[[#This Row],[Amount]]&gt;30000,"Good","Average"))</f>
        <v>Good</v>
      </c>
      <c r="K13" s="39">
        <f>ROUND(Table2[[#This Row],[Discount]],1)</f>
        <v>0.1</v>
      </c>
      <c r="L13" s="21">
        <f>CEILING(Table2[[#This Row],[Discount Amount]],5)</f>
        <v>3565</v>
      </c>
      <c r="M13" s="21">
        <f>FLOOR(Table2[[#This Row],[Discount Amount]],5)</f>
        <v>3560</v>
      </c>
    </row>
    <row r="14" spans="1:21" ht="15.75" thickBot="1" x14ac:dyDescent="0.3">
      <c r="A14" s="4">
        <v>2013</v>
      </c>
      <c r="B14" s="5" t="s">
        <v>52</v>
      </c>
      <c r="C14" s="5" t="s">
        <v>40</v>
      </c>
      <c r="D14" s="5" t="s">
        <v>53</v>
      </c>
      <c r="E14" s="36">
        <v>15560</v>
      </c>
      <c r="F14" s="25">
        <v>45107</v>
      </c>
      <c r="G14" s="38">
        <f>IF(Table2[[#This Row],[Amount]]&gt;20000,10%,IF(Table2[[#This Row],[Amount]]&gt;15000,15%,IF(Table2[[#This Row],[Amount]]&gt;10000,10%,0%)))</f>
        <v>0.15</v>
      </c>
      <c r="H14" s="35">
        <f>Table2[[#This Row],[Amount]]*Table2[[#This Row],[Discount]]</f>
        <v>2334</v>
      </c>
      <c r="I14" s="21" t="str">
        <f>IF(OR(Table2[[#This Row],[Amount]]&gt;5500,Table2[[#This Row],[Amount]]=5500),"Eligible", "Not Eligible")</f>
        <v>Eligible</v>
      </c>
      <c r="J14" s="21" t="str">
        <f>IF(Table2[[#This Row],[Amount]]&gt;40000,"Excillent",IF(Table2[[#This Row],[Amount]]&gt;30000,"Good","Average"))</f>
        <v>Average</v>
      </c>
      <c r="K14" s="39">
        <f>ROUND(Table2[[#This Row],[Discount]],1)</f>
        <v>0.2</v>
      </c>
      <c r="L14" s="21">
        <f>CEILING(Table2[[#This Row],[Discount Amount]],5)</f>
        <v>2335</v>
      </c>
      <c r="M14" s="21">
        <f>FLOOR(Table2[[#This Row],[Discount Amount]],5)</f>
        <v>2330</v>
      </c>
      <c r="O14" s="43"/>
      <c r="P14" s="43"/>
      <c r="Q14" s="43"/>
      <c r="R14" s="43" t="s">
        <v>100</v>
      </c>
      <c r="S14" s="43"/>
      <c r="T14" s="43"/>
      <c r="U14" s="43"/>
    </row>
    <row r="15" spans="1:21" ht="15.75" thickBot="1" x14ac:dyDescent="0.3">
      <c r="A15" s="4">
        <v>2014</v>
      </c>
      <c r="B15" s="5" t="s">
        <v>52</v>
      </c>
      <c r="C15" s="5" t="s">
        <v>33</v>
      </c>
      <c r="D15" s="5" t="s">
        <v>54</v>
      </c>
      <c r="E15" s="36">
        <v>7283</v>
      </c>
      <c r="F15" s="25">
        <v>45122</v>
      </c>
      <c r="G15" s="38">
        <f>IF(Table2[[#This Row],[Amount]]&gt;20000,10%,IF(Table2[[#This Row],[Amount]]&gt;15000,15%,IF(Table2[[#This Row],[Amount]]&gt;10000,10%,0%)))</f>
        <v>0</v>
      </c>
      <c r="H15" s="35">
        <f>Table2[[#This Row],[Amount]]*Table2[[#This Row],[Discount]]</f>
        <v>0</v>
      </c>
      <c r="I15" s="21" t="str">
        <f>IF(OR(Table2[[#This Row],[Amount]]&gt;5500,Table2[[#This Row],[Amount]]=5500),"Eligible", "Not Eligible")</f>
        <v>Eligible</v>
      </c>
      <c r="J15" s="21" t="str">
        <f>IF(Table2[[#This Row],[Amount]]&gt;40000,"Excillent",IF(Table2[[#This Row],[Amount]]&gt;30000,"Good","Average"))</f>
        <v>Average</v>
      </c>
      <c r="K15" s="39">
        <f>ROUND(Table2[[#This Row],[Discount]],1)</f>
        <v>0</v>
      </c>
      <c r="L15" s="21">
        <f>CEILING(Table2[[#This Row],[Discount Amount]],5)</f>
        <v>0</v>
      </c>
      <c r="M15" s="21">
        <f>FLOOR(Table2[[#This Row],[Discount Amount]],5)</f>
        <v>0</v>
      </c>
      <c r="O15" s="46"/>
      <c r="P15" s="46"/>
      <c r="Q15" s="46" t="s">
        <v>34</v>
      </c>
      <c r="R15" s="46" t="s">
        <v>101</v>
      </c>
      <c r="S15" s="61" cm="1">
        <f t="array" ref="S15">INDEX(Table2[Amount],MATCH(1,(Table2[Salesperson]=Q15)*(TEXT(Table2[Date],"mmmm")=R15),0))</f>
        <v>7048</v>
      </c>
      <c r="T15" s="46"/>
      <c r="U15" s="46"/>
    </row>
    <row r="16" spans="1:21" ht="15.75" thickBot="1" x14ac:dyDescent="0.3">
      <c r="A16" s="4">
        <v>2015</v>
      </c>
      <c r="B16" s="5" t="s">
        <v>52</v>
      </c>
      <c r="C16" s="5" t="s">
        <v>40</v>
      </c>
      <c r="D16" s="5" t="s">
        <v>55</v>
      </c>
      <c r="E16" s="36">
        <v>15678</v>
      </c>
      <c r="F16" s="25">
        <v>45137</v>
      </c>
      <c r="G16" s="38">
        <f>IF(Table2[[#This Row],[Amount]]&gt;20000,10%,IF(Table2[[#This Row],[Amount]]&gt;15000,15%,IF(Table2[[#This Row],[Amount]]&gt;10000,10%,0%)))</f>
        <v>0.15</v>
      </c>
      <c r="H16" s="35">
        <f>Table2[[#This Row],[Amount]]*Table2[[#This Row],[Discount]]</f>
        <v>2351.6999999999998</v>
      </c>
      <c r="I16" s="21" t="str">
        <f>IF(OR(Table2[[#This Row],[Amount]]&gt;5500,Table2[[#This Row],[Amount]]=5500),"Eligible", "Not Eligible")</f>
        <v>Eligible</v>
      </c>
      <c r="J16" s="21" t="str">
        <f>IF(Table2[[#This Row],[Amount]]&gt;40000,"Excillent",IF(Table2[[#This Row],[Amount]]&gt;30000,"Good","Average"))</f>
        <v>Average</v>
      </c>
      <c r="K16" s="39">
        <f>ROUND(Table2[[#This Row],[Discount]],1)</f>
        <v>0.2</v>
      </c>
      <c r="L16" s="21">
        <f>CEILING(Table2[[#This Row],[Discount Amount]],5)</f>
        <v>2355</v>
      </c>
      <c r="M16" s="21">
        <f>FLOOR(Table2[[#This Row],[Discount Amount]],5)</f>
        <v>2350</v>
      </c>
      <c r="O16" s="46"/>
      <c r="P16" s="46"/>
      <c r="Q16" s="46" t="s">
        <v>37</v>
      </c>
      <c r="R16" s="46" t="s">
        <v>101</v>
      </c>
      <c r="S16" s="61" cm="1">
        <f t="array" ref="S16">INDEX(Table2[Amount],MATCH(1,(Table2[Salesperson]=Q16)*(TEXT(Table2[Date],"mmmm")=R16),0))</f>
        <v>17428</v>
      </c>
      <c r="T16" s="46"/>
      <c r="U16" s="46"/>
    </row>
    <row r="17" spans="1:21" ht="15.75" thickBot="1" x14ac:dyDescent="0.3">
      <c r="A17" s="4">
        <v>2016</v>
      </c>
      <c r="B17" s="5" t="s">
        <v>38</v>
      </c>
      <c r="C17" s="5" t="s">
        <v>40</v>
      </c>
      <c r="D17" s="5" t="s">
        <v>56</v>
      </c>
      <c r="E17" s="36">
        <v>5277</v>
      </c>
      <c r="F17" s="25">
        <v>45152</v>
      </c>
      <c r="G17" s="38">
        <f>IF(Table2[[#This Row],[Amount]]&gt;20000,10%,IF(Table2[[#This Row],[Amount]]&gt;15000,15%,IF(Table2[[#This Row],[Amount]]&gt;10000,10%,0%)))</f>
        <v>0</v>
      </c>
      <c r="H17" s="35">
        <f>Table2[[#This Row],[Amount]]*Table2[[#This Row],[Discount]]</f>
        <v>0</v>
      </c>
      <c r="I17" s="21" t="str">
        <f>IF(OR(Table2[[#This Row],[Amount]]&gt;5500,Table2[[#This Row],[Amount]]=5500),"Eligible", "Not Eligible")</f>
        <v>Not Eligible</v>
      </c>
      <c r="J17" s="21" t="str">
        <f>IF(Table2[[#This Row],[Amount]]&gt;40000,"Excillent",IF(Table2[[#This Row],[Amount]]&gt;30000,"Good","Average"))</f>
        <v>Average</v>
      </c>
      <c r="K17" s="39">
        <f>ROUND(Table2[[#This Row],[Discount]],1)</f>
        <v>0</v>
      </c>
      <c r="L17" s="21">
        <f>CEILING(Table2[[#This Row],[Discount Amount]],5)</f>
        <v>0</v>
      </c>
      <c r="M17" s="21">
        <f>FLOOR(Table2[[#This Row],[Discount Amount]],5)</f>
        <v>0</v>
      </c>
      <c r="O17" s="46"/>
      <c r="P17" s="46"/>
      <c r="Q17" s="46" t="s">
        <v>39</v>
      </c>
      <c r="R17" s="46" t="s">
        <v>101</v>
      </c>
      <c r="S17" s="61" cm="1">
        <f t="array" ref="S17">INDEX(Table2[Amount],MATCH(1,(Table2[Salesperson]=Q17)*(TEXT(Table2[Date],"mmmm")=R17),0))</f>
        <v>23672</v>
      </c>
      <c r="T17" s="46"/>
      <c r="U17" s="46"/>
    </row>
    <row r="18" spans="1:21" ht="15.75" thickBot="1" x14ac:dyDescent="0.3">
      <c r="A18" s="4">
        <v>2017</v>
      </c>
      <c r="B18" s="5" t="s">
        <v>50</v>
      </c>
      <c r="C18" s="5" t="s">
        <v>42</v>
      </c>
      <c r="D18" s="5" t="s">
        <v>57</v>
      </c>
      <c r="E18" s="36">
        <v>41871</v>
      </c>
      <c r="F18" s="25">
        <v>45167</v>
      </c>
      <c r="G18" s="38">
        <f>IF(Table2[[#This Row],[Amount]]&gt;20000,10%,IF(Table2[[#This Row],[Amount]]&gt;15000,15%,IF(Table2[[#This Row],[Amount]]&gt;10000,10%,0%)))</f>
        <v>0.1</v>
      </c>
      <c r="H18" s="35">
        <f>Table2[[#This Row],[Amount]]*Table2[[#This Row],[Discount]]</f>
        <v>4187.1000000000004</v>
      </c>
      <c r="I18" s="21" t="str">
        <f>IF(OR(Table2[[#This Row],[Amount]]&gt;5500,Table2[[#This Row],[Amount]]=5500),"Eligible", "Not Eligible")</f>
        <v>Eligible</v>
      </c>
      <c r="J18" s="21" t="str">
        <f>IF(Table2[[#This Row],[Amount]]&gt;40000,"Excillent",IF(Table2[[#This Row],[Amount]]&gt;30000,"Good","Average"))</f>
        <v>Excillent</v>
      </c>
      <c r="K18" s="39">
        <f>ROUND(Table2[[#This Row],[Discount]],1)</f>
        <v>0.1</v>
      </c>
      <c r="L18" s="21">
        <f>CEILING(Table2[[#This Row],[Discount Amount]],5)</f>
        <v>4190</v>
      </c>
      <c r="M18" s="21">
        <f>FLOOR(Table2[[#This Row],[Discount Amount]],5)</f>
        <v>4185</v>
      </c>
      <c r="O18" s="46"/>
      <c r="P18" s="46"/>
      <c r="Q18" s="46" t="s">
        <v>41</v>
      </c>
      <c r="R18" s="46" t="s">
        <v>102</v>
      </c>
      <c r="S18" s="61" cm="1">
        <f t="array" ref="S18">INDEX(Table2[Amount],MATCH(1,(Table2[Salesperson]=Q18)*(TEXT(Table2[Date],"mmmm")=R18),0))</f>
        <v>5264</v>
      </c>
      <c r="T18" s="46"/>
      <c r="U18" s="46"/>
    </row>
    <row r="19" spans="1:21" ht="15.75" thickBot="1" x14ac:dyDescent="0.3">
      <c r="A19" s="4">
        <v>2018</v>
      </c>
      <c r="B19" s="5" t="s">
        <v>50</v>
      </c>
      <c r="C19" s="5" t="s">
        <v>36</v>
      </c>
      <c r="D19" s="5" t="s">
        <v>58</v>
      </c>
      <c r="E19" s="36">
        <v>38161</v>
      </c>
      <c r="F19" s="25">
        <v>45182</v>
      </c>
      <c r="G19" s="38">
        <f>IF(Table2[[#This Row],[Amount]]&gt;20000,10%,IF(Table2[[#This Row],[Amount]]&gt;15000,15%,IF(Table2[[#This Row],[Amount]]&gt;10000,10%,0%)))</f>
        <v>0.1</v>
      </c>
      <c r="H19" s="35">
        <f>Table2[[#This Row],[Amount]]*Table2[[#This Row],[Discount]]</f>
        <v>3816.1000000000004</v>
      </c>
      <c r="I19" s="21" t="str">
        <f>IF(OR(Table2[[#This Row],[Amount]]&gt;5500,Table2[[#This Row],[Amount]]=5500),"Eligible", "Not Eligible")</f>
        <v>Eligible</v>
      </c>
      <c r="J19" s="21" t="str">
        <f>IF(Table2[[#This Row],[Amount]]&gt;40000,"Excillent",IF(Table2[[#This Row],[Amount]]&gt;30000,"Good","Average"))</f>
        <v>Good</v>
      </c>
      <c r="K19" s="39">
        <f>ROUND(Table2[[#This Row],[Discount]],1)</f>
        <v>0.1</v>
      </c>
      <c r="L19" s="21">
        <f>CEILING(Table2[[#This Row],[Discount Amount]],5)</f>
        <v>3820</v>
      </c>
      <c r="M19" s="21">
        <f>FLOOR(Table2[[#This Row],[Discount Amount]],5)</f>
        <v>3815</v>
      </c>
      <c r="O19" s="46"/>
      <c r="P19" s="46"/>
      <c r="Q19" s="46" t="s">
        <v>43</v>
      </c>
      <c r="R19" s="46" t="s">
        <v>103</v>
      </c>
      <c r="S19" s="61" cm="1">
        <f t="array" ref="S19">INDEX(Table2[Amount],MATCH(1,(Table2[Salesperson]=Q19)*(TEXT(Table2[Date],"mmmm")=R19),0))</f>
        <v>43388</v>
      </c>
      <c r="T19" s="46"/>
      <c r="U19" s="46"/>
    </row>
    <row r="20" spans="1:21" ht="15.75" thickBot="1" x14ac:dyDescent="0.3">
      <c r="A20" s="4">
        <v>2019</v>
      </c>
      <c r="B20" s="5" t="s">
        <v>38</v>
      </c>
      <c r="C20" s="5" t="s">
        <v>36</v>
      </c>
      <c r="D20" s="5" t="s">
        <v>59</v>
      </c>
      <c r="E20" s="36">
        <v>30436</v>
      </c>
      <c r="F20" s="25">
        <v>45197</v>
      </c>
      <c r="G20" s="38">
        <f>IF(Table2[[#This Row],[Amount]]&gt;20000,10%,IF(Table2[[#This Row],[Amount]]&gt;15000,15%,IF(Table2[[#This Row],[Amount]]&gt;10000,10%,0%)))</f>
        <v>0.1</v>
      </c>
      <c r="H20" s="35">
        <f>Table2[[#This Row],[Amount]]*Table2[[#This Row],[Discount]]</f>
        <v>3043.6000000000004</v>
      </c>
      <c r="I20" s="21" t="str">
        <f>IF(OR(Table2[[#This Row],[Amount]]&gt;5500,Table2[[#This Row],[Amount]]=5500),"Eligible", "Not Eligible")</f>
        <v>Eligible</v>
      </c>
      <c r="J20" s="21" t="str">
        <f>IF(Table2[[#This Row],[Amount]]&gt;40000,"Excillent",IF(Table2[[#This Row],[Amount]]&gt;30000,"Good","Average"))</f>
        <v>Good</v>
      </c>
      <c r="K20" s="39">
        <f>ROUND(Table2[[#This Row],[Discount]],1)</f>
        <v>0.1</v>
      </c>
      <c r="L20" s="21">
        <f>CEILING(Table2[[#This Row],[Discount Amount]],5)</f>
        <v>3045</v>
      </c>
      <c r="M20" s="21">
        <f>FLOOR(Table2[[#This Row],[Discount Amount]],5)</f>
        <v>3040</v>
      </c>
    </row>
    <row r="21" spans="1:21" x14ac:dyDescent="0.25">
      <c r="A21" s="6">
        <v>2020</v>
      </c>
      <c r="B21" s="7" t="s">
        <v>35</v>
      </c>
      <c r="C21" s="7" t="s">
        <v>36</v>
      </c>
      <c r="D21" s="7" t="s">
        <v>60</v>
      </c>
      <c r="E21" s="37">
        <v>33953</v>
      </c>
      <c r="F21" s="26">
        <v>45212</v>
      </c>
      <c r="G21" s="38">
        <f>IF(Table2[[#This Row],[Amount]]&gt;20000,10%,IF(Table2[[#This Row],[Amount]]&gt;15000,15%,IF(Table2[[#This Row],[Amount]]&gt;10000,10%,0%)))</f>
        <v>0.1</v>
      </c>
      <c r="H21" s="35">
        <f>Table2[[#This Row],[Amount]]*Table2[[#This Row],[Discount]]</f>
        <v>3395.3</v>
      </c>
      <c r="I21" s="21" t="str">
        <f>IF(OR(Table2[[#This Row],[Amount]]&gt;5500,Table2[[#This Row],[Amount]]=5500),"Eligible", "Not Eligible")</f>
        <v>Eligible</v>
      </c>
      <c r="J21" s="21" t="str">
        <f>IF(Table2[[#This Row],[Amount]]&gt;40000,"Excillent",IF(Table2[[#This Row],[Amount]]&gt;30000,"Good","Average"))</f>
        <v>Good</v>
      </c>
      <c r="K21" s="39">
        <f>ROUND(Table2[[#This Row],[Discount]],1)</f>
        <v>0.1</v>
      </c>
      <c r="L21" s="21">
        <f>CEILING(Table2[[#This Row],[Discount Amount]],5)</f>
        <v>3400</v>
      </c>
      <c r="M21" s="21">
        <f>FLOOR(Table2[[#This Row],[Discount Amount]],5)</f>
        <v>3395</v>
      </c>
    </row>
    <row r="22" spans="1:21" x14ac:dyDescent="0.25">
      <c r="O22" s="43"/>
      <c r="P22" s="43"/>
      <c r="Q22" s="43" t="s">
        <v>109</v>
      </c>
      <c r="R22" s="43"/>
      <c r="S22" s="43"/>
    </row>
    <row r="23" spans="1:21" x14ac:dyDescent="0.25">
      <c r="A23" s="45" t="s">
        <v>110</v>
      </c>
      <c r="B23" s="45"/>
      <c r="C23" s="45"/>
      <c r="D23" s="45"/>
      <c r="O23" s="46"/>
      <c r="P23" s="46"/>
      <c r="Q23" s="46" t="s">
        <v>38</v>
      </c>
      <c r="R23" s="46">
        <f>_xlfn.XMATCH(Q23,Table2[Product])</f>
        <v>3</v>
      </c>
      <c r="S23" s="46"/>
    </row>
    <row r="24" spans="1:21" x14ac:dyDescent="0.25">
      <c r="A24" s="47" t="s">
        <v>111</v>
      </c>
      <c r="B24" s="47"/>
      <c r="C24" s="62">
        <f ca="1">SUM(INDIRECT("Sales_Amount"))</f>
        <v>507725</v>
      </c>
      <c r="D24" s="44"/>
      <c r="O24" s="46"/>
      <c r="P24" s="46"/>
      <c r="Q24" s="46" t="s">
        <v>32</v>
      </c>
      <c r="R24" s="46">
        <f>_xlfn.XMATCH(Q24,Table2[Product])</f>
        <v>1</v>
      </c>
      <c r="S24" s="46"/>
    </row>
    <row r="25" spans="1:21" x14ac:dyDescent="0.25">
      <c r="E25" s="45" t="s">
        <v>105</v>
      </c>
      <c r="F25" s="45"/>
      <c r="G25" s="45"/>
      <c r="H25" s="45"/>
      <c r="I25" s="45"/>
      <c r="O25" s="46"/>
      <c r="P25" s="46"/>
      <c r="Q25" s="46" t="s">
        <v>35</v>
      </c>
      <c r="R25" s="46">
        <f>_xlfn.XMATCH(Q25,Table2[Product])</f>
        <v>2</v>
      </c>
      <c r="S25" s="46"/>
    </row>
    <row r="26" spans="1:21" x14ac:dyDescent="0.25">
      <c r="E26" s="46"/>
      <c r="F26" s="46" t="str">
        <f>UPPER(B2)</f>
        <v>KEYBOARD</v>
      </c>
      <c r="G26" s="46"/>
      <c r="H26" s="46"/>
      <c r="I26" s="46"/>
      <c r="O26" s="46"/>
      <c r="P26" s="46"/>
      <c r="Q26" s="46" t="s">
        <v>52</v>
      </c>
      <c r="R26" s="46">
        <f>_xlfn.XMATCH(Q26,Table2[Product])</f>
        <v>13</v>
      </c>
      <c r="S26" s="46"/>
    </row>
    <row r="27" spans="1:21" x14ac:dyDescent="0.25">
      <c r="E27" s="46"/>
      <c r="F27" s="46" t="str">
        <f>LOWER(B3)</f>
        <v>printer</v>
      </c>
      <c r="G27" s="46"/>
      <c r="H27" s="46"/>
      <c r="I27" s="46"/>
    </row>
    <row r="30" spans="1:21" x14ac:dyDescent="0.25">
      <c r="E30" s="45" t="s">
        <v>107</v>
      </c>
      <c r="F30" s="45"/>
      <c r="G30" s="45"/>
      <c r="H30" s="45"/>
      <c r="I30" s="45"/>
    </row>
    <row r="31" spans="1:21" x14ac:dyDescent="0.25">
      <c r="E31" s="46"/>
      <c r="F31" s="46"/>
      <c r="G31" s="46" t="s">
        <v>34</v>
      </c>
      <c r="H31" s="46" t="str">
        <f>_xlfn.XLOOKUP(G31,Table2[Salesperson],Table2[PERFORMANCE])</f>
        <v>Average</v>
      </c>
      <c r="I31" s="46"/>
    </row>
    <row r="32" spans="1:21" x14ac:dyDescent="0.25">
      <c r="E32" s="46"/>
      <c r="F32" s="46"/>
      <c r="G32" s="46" t="s">
        <v>41</v>
      </c>
      <c r="H32" s="46" t="str">
        <f>_xlfn.XLOOKUP(G32,Table2[Salesperson],Table2[PERFORMANCE])</f>
        <v>Average</v>
      </c>
      <c r="I32" s="46"/>
    </row>
    <row r="33" spans="5:9" x14ac:dyDescent="0.25">
      <c r="E33" s="46"/>
      <c r="F33" s="46"/>
      <c r="G33" s="46" t="s">
        <v>45</v>
      </c>
      <c r="H33" s="46" t="str">
        <f>_xlfn.XLOOKUP(G33,Table2[Salesperson],Table2[PERFORMANCE])</f>
        <v>Good</v>
      </c>
      <c r="I33" s="46"/>
    </row>
    <row r="34" spans="5:9" x14ac:dyDescent="0.25">
      <c r="E34" s="46"/>
      <c r="F34" s="46"/>
      <c r="G34" s="46" t="s">
        <v>53</v>
      </c>
      <c r="H34" s="46" t="str">
        <f>_xlfn.XLOOKUP(G34,Table2[Salesperson],Table2[PERFORMANCE])</f>
        <v>Average</v>
      </c>
      <c r="I34" s="46"/>
    </row>
    <row r="35" spans="5:9" x14ac:dyDescent="0.25">
      <c r="E35" s="46"/>
      <c r="F35" s="46"/>
      <c r="G35" s="46"/>
      <c r="H35" s="46"/>
      <c r="I35" s="46"/>
    </row>
    <row r="38" spans="5:9" x14ac:dyDescent="0.25">
      <c r="E38" s="43"/>
      <c r="F38" s="45" t="s">
        <v>112</v>
      </c>
      <c r="G38" s="45"/>
      <c r="H38" s="45"/>
      <c r="I38" s="43"/>
    </row>
    <row r="39" spans="5:9" ht="16.5" x14ac:dyDescent="0.25">
      <c r="E39" s="46"/>
      <c r="F39" s="48"/>
      <c r="G39" s="61">
        <f ca="1">SUM(OFFSET(Table2[[#Headers],[Amount]],1,0,COUNTA(Table2[Amount]),1))</f>
        <v>507725</v>
      </c>
      <c r="H39" s="46"/>
      <c r="I39" s="46"/>
    </row>
  </sheetData>
  <mergeCells count="7">
    <mergeCell ref="E30:I30"/>
    <mergeCell ref="A23:D23"/>
    <mergeCell ref="A24:B24"/>
    <mergeCell ref="F38:H38"/>
    <mergeCell ref="O3:S3"/>
    <mergeCell ref="O4:S4"/>
    <mergeCell ref="E25:I25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9957-826B-4AFB-8181-0EDA6A441519}">
  <sheetPr>
    <tabColor rgb="FF00B050"/>
  </sheetPr>
  <dimension ref="A1:M21"/>
  <sheetViews>
    <sheetView zoomScale="118" workbookViewId="0">
      <selection activeCell="J26" sqref="J26"/>
    </sheetView>
  </sheetViews>
  <sheetFormatPr defaultRowHeight="15" x14ac:dyDescent="0.25"/>
  <cols>
    <col min="1" max="1" width="18" bestFit="1" customWidth="1"/>
    <col min="2" max="2" width="12.85546875" customWidth="1"/>
    <col min="3" max="3" width="18.140625" customWidth="1"/>
    <col min="4" max="4" width="13.7109375" bestFit="1" customWidth="1"/>
    <col min="5" max="5" width="20.28515625" customWidth="1"/>
    <col min="8" max="8" width="11.85546875" bestFit="1" customWidth="1"/>
    <col min="9" max="9" width="12.85546875" bestFit="1" customWidth="1"/>
    <col min="10" max="10" width="12.28515625" bestFit="1" customWidth="1"/>
  </cols>
  <sheetData>
    <row r="1" spans="1:13" ht="15.75" thickBot="1" x14ac:dyDescent="0.3">
      <c r="A1" s="10" t="s">
        <v>61</v>
      </c>
      <c r="B1" s="11" t="s">
        <v>1</v>
      </c>
      <c r="C1" s="11" t="s">
        <v>62</v>
      </c>
      <c r="D1" s="11" t="s">
        <v>63</v>
      </c>
      <c r="E1" s="12" t="s">
        <v>64</v>
      </c>
    </row>
    <row r="2" spans="1:13" ht="15.75" thickBot="1" x14ac:dyDescent="0.3">
      <c r="A2" s="4">
        <v>3001</v>
      </c>
      <c r="B2" s="5" t="s">
        <v>65</v>
      </c>
      <c r="C2" s="5" t="s">
        <v>66</v>
      </c>
      <c r="D2" s="36">
        <v>86766</v>
      </c>
      <c r="E2" s="8">
        <v>42005</v>
      </c>
      <c r="G2" s="51" t="s">
        <v>108</v>
      </c>
      <c r="H2" s="51"/>
      <c r="I2" s="51"/>
      <c r="J2" s="51"/>
      <c r="K2" s="51"/>
    </row>
    <row r="3" spans="1:13" ht="15.75" thickBot="1" x14ac:dyDescent="0.3">
      <c r="A3" s="4">
        <v>3002</v>
      </c>
      <c r="B3" s="5" t="s">
        <v>67</v>
      </c>
      <c r="C3" s="5" t="s">
        <v>66</v>
      </c>
      <c r="D3" s="36">
        <v>31943</v>
      </c>
      <c r="E3" s="8">
        <v>42255</v>
      </c>
      <c r="G3" s="50"/>
      <c r="H3" s="50" t="s">
        <v>81</v>
      </c>
      <c r="I3" s="54">
        <f>_xlfn.XLOOKUP(H3,Table3[Name],Table3[Salary])</f>
        <v>40872</v>
      </c>
      <c r="J3" s="50"/>
      <c r="K3" s="50"/>
    </row>
    <row r="4" spans="1:13" ht="15.75" thickBot="1" x14ac:dyDescent="0.3">
      <c r="A4" s="4">
        <v>3003</v>
      </c>
      <c r="B4" s="5" t="s">
        <v>68</v>
      </c>
      <c r="C4" s="5" t="s">
        <v>69</v>
      </c>
      <c r="D4" s="36">
        <v>63374</v>
      </c>
      <c r="E4" s="8">
        <v>42505</v>
      </c>
      <c r="G4" s="50"/>
      <c r="H4" s="50" t="s">
        <v>87</v>
      </c>
      <c r="I4" s="54">
        <f>_xlfn.XLOOKUP(H4,Table3[Name],Table3[Salary])</f>
        <v>116283</v>
      </c>
      <c r="J4" s="50"/>
      <c r="K4" s="50"/>
    </row>
    <row r="5" spans="1:13" ht="15.75" thickBot="1" x14ac:dyDescent="0.3">
      <c r="A5" s="4">
        <v>3004</v>
      </c>
      <c r="B5" s="5" t="s">
        <v>70</v>
      </c>
      <c r="C5" s="5" t="s">
        <v>66</v>
      </c>
      <c r="D5" s="36">
        <v>109972</v>
      </c>
      <c r="E5" s="8">
        <v>42755</v>
      </c>
      <c r="G5" s="50"/>
      <c r="H5" s="50" t="s">
        <v>83</v>
      </c>
      <c r="I5" s="54">
        <f>_xlfn.XLOOKUP(H5,Table3[Name],Table3[Salary])</f>
        <v>63297</v>
      </c>
      <c r="J5" s="50"/>
      <c r="K5" s="50"/>
    </row>
    <row r="6" spans="1:13" ht="15.75" thickBot="1" x14ac:dyDescent="0.3">
      <c r="A6" s="4">
        <v>3005</v>
      </c>
      <c r="B6" s="5" t="s">
        <v>71</v>
      </c>
      <c r="C6" s="5" t="s">
        <v>72</v>
      </c>
      <c r="D6" s="36">
        <v>54149</v>
      </c>
      <c r="E6" s="8">
        <v>43005</v>
      </c>
      <c r="G6" s="50"/>
      <c r="H6" s="50" t="s">
        <v>79</v>
      </c>
      <c r="I6" s="54">
        <f>_xlfn.XLOOKUP(H6,Table3[Name],Table3[Salary])</f>
        <v>107634</v>
      </c>
      <c r="J6" s="50"/>
      <c r="K6" s="50"/>
    </row>
    <row r="7" spans="1:13" ht="15.75" thickBot="1" x14ac:dyDescent="0.3">
      <c r="A7" s="4">
        <v>3006</v>
      </c>
      <c r="B7" s="5" t="s">
        <v>73</v>
      </c>
      <c r="C7" s="5" t="s">
        <v>72</v>
      </c>
      <c r="D7" s="36">
        <v>78689</v>
      </c>
      <c r="E7" s="8">
        <v>43255</v>
      </c>
    </row>
    <row r="8" spans="1:13" ht="15.75" thickBot="1" x14ac:dyDescent="0.3">
      <c r="A8" s="4">
        <v>3007</v>
      </c>
      <c r="B8" s="5" t="s">
        <v>74</v>
      </c>
      <c r="C8" s="5" t="s">
        <v>75</v>
      </c>
      <c r="D8" s="36">
        <v>35960</v>
      </c>
      <c r="E8" s="8">
        <v>43505</v>
      </c>
    </row>
    <row r="9" spans="1:13" ht="15.75" thickBot="1" x14ac:dyDescent="0.3">
      <c r="A9" s="4">
        <v>3008</v>
      </c>
      <c r="B9" s="5" t="s">
        <v>76</v>
      </c>
      <c r="C9" s="5" t="s">
        <v>72</v>
      </c>
      <c r="D9" s="36">
        <v>91659</v>
      </c>
      <c r="E9" s="8">
        <v>43755</v>
      </c>
      <c r="G9" s="49" t="s">
        <v>113</v>
      </c>
      <c r="H9" s="49"/>
      <c r="I9" s="49"/>
      <c r="J9" s="49"/>
      <c r="K9" s="49"/>
      <c r="L9" s="27"/>
    </row>
    <row r="10" spans="1:13" ht="15.75" thickBot="1" x14ac:dyDescent="0.3">
      <c r="A10" s="4">
        <v>3009</v>
      </c>
      <c r="B10" s="5" t="s">
        <v>77</v>
      </c>
      <c r="C10" s="5" t="s">
        <v>72</v>
      </c>
      <c r="D10" s="36">
        <v>90423</v>
      </c>
      <c r="E10" s="8">
        <v>44005</v>
      </c>
      <c r="G10" s="50"/>
      <c r="H10" s="50"/>
      <c r="I10" s="50" t="str">
        <f>LEFT(B3,FIND(" ",B3)-1)</f>
        <v>Employee</v>
      </c>
      <c r="J10" s="50"/>
      <c r="K10" s="50"/>
    </row>
    <row r="11" spans="1:13" ht="15.75" thickBot="1" x14ac:dyDescent="0.3">
      <c r="A11" s="4">
        <v>3010</v>
      </c>
      <c r="B11" s="5" t="s">
        <v>78</v>
      </c>
      <c r="C11" s="5" t="s">
        <v>69</v>
      </c>
      <c r="D11" s="36">
        <v>107877</v>
      </c>
      <c r="E11" s="8">
        <v>44255</v>
      </c>
      <c r="G11" s="50"/>
      <c r="H11" s="50"/>
      <c r="I11" s="50" t="str">
        <f>LEFT(B4,FIND(" ",B4)-1)</f>
        <v>Employee</v>
      </c>
      <c r="J11" s="50"/>
      <c r="K11" s="50"/>
    </row>
    <row r="12" spans="1:13" ht="15.75" thickBot="1" x14ac:dyDescent="0.3">
      <c r="A12" s="4">
        <v>3011</v>
      </c>
      <c r="B12" s="5" t="s">
        <v>79</v>
      </c>
      <c r="C12" s="5" t="s">
        <v>66</v>
      </c>
      <c r="D12" s="36">
        <v>107634</v>
      </c>
      <c r="E12" s="8">
        <v>44505</v>
      </c>
      <c r="G12" s="50"/>
      <c r="H12" s="50"/>
      <c r="I12" s="50" t="str">
        <f>LEFT(B5,FIND(" ",B5)-1)</f>
        <v>Employee</v>
      </c>
      <c r="J12" s="50"/>
      <c r="K12" s="50"/>
    </row>
    <row r="13" spans="1:13" ht="15.75" thickBot="1" x14ac:dyDescent="0.3">
      <c r="A13" s="4">
        <v>3012</v>
      </c>
      <c r="B13" s="5" t="s">
        <v>80</v>
      </c>
      <c r="C13" s="5" t="s">
        <v>66</v>
      </c>
      <c r="D13" s="36">
        <v>35226</v>
      </c>
      <c r="E13" s="8">
        <v>44755</v>
      </c>
      <c r="G13" s="50"/>
      <c r="H13" s="50"/>
      <c r="I13" s="50" t="str">
        <f>LEFT(B6,FIND(" ",B6)-1)</f>
        <v>Employee</v>
      </c>
      <c r="J13" s="50"/>
      <c r="K13" s="50"/>
    </row>
    <row r="14" spans="1:13" ht="15.75" thickBot="1" x14ac:dyDescent="0.3">
      <c r="A14" s="4">
        <v>3013</v>
      </c>
      <c r="B14" s="5" t="s">
        <v>81</v>
      </c>
      <c r="C14" s="5" t="s">
        <v>69</v>
      </c>
      <c r="D14" s="36">
        <v>40872</v>
      </c>
      <c r="E14" s="8">
        <v>45005</v>
      </c>
    </row>
    <row r="15" spans="1:13" ht="15.75" thickBot="1" x14ac:dyDescent="0.3">
      <c r="A15" s="4">
        <v>3014</v>
      </c>
      <c r="B15" s="5" t="s">
        <v>82</v>
      </c>
      <c r="C15" s="5" t="s">
        <v>69</v>
      </c>
      <c r="D15" s="36">
        <v>55378</v>
      </c>
      <c r="E15" s="8">
        <v>45255</v>
      </c>
    </row>
    <row r="16" spans="1:13" ht="15.75" thickBot="1" x14ac:dyDescent="0.3">
      <c r="A16" s="4">
        <v>3015</v>
      </c>
      <c r="B16" s="5" t="s">
        <v>83</v>
      </c>
      <c r="C16" s="5" t="s">
        <v>69</v>
      </c>
      <c r="D16" s="36">
        <v>63297</v>
      </c>
      <c r="E16" s="8">
        <v>45505</v>
      </c>
      <c r="G16" s="49"/>
      <c r="H16" s="49"/>
      <c r="I16" s="49"/>
      <c r="J16" s="52" t="s">
        <v>104</v>
      </c>
      <c r="K16" s="52"/>
      <c r="L16" s="52"/>
      <c r="M16" s="52"/>
    </row>
    <row r="17" spans="1:13" ht="15.75" thickBot="1" x14ac:dyDescent="0.3">
      <c r="A17" s="4">
        <v>3016</v>
      </c>
      <c r="B17" s="5" t="s">
        <v>84</v>
      </c>
      <c r="C17" s="5" t="s">
        <v>66</v>
      </c>
      <c r="D17" s="36">
        <v>114173</v>
      </c>
      <c r="E17" s="8">
        <v>45755</v>
      </c>
      <c r="G17" s="53"/>
      <c r="H17" s="53">
        <v>3006</v>
      </c>
      <c r="I17" s="53" t="s">
        <v>1</v>
      </c>
      <c r="J17" s="53" t="str">
        <f>INDEX(A2:E21,MATCH(H17,A2:A21,0),MATCH(I17,A1:E1,0))</f>
        <v>Employee 6</v>
      </c>
      <c r="K17" s="50"/>
      <c r="L17" s="50"/>
      <c r="M17" s="50"/>
    </row>
    <row r="18" spans="1:13" ht="15.75" thickBot="1" x14ac:dyDescent="0.3">
      <c r="A18" s="4">
        <v>3017</v>
      </c>
      <c r="B18" s="5" t="s">
        <v>85</v>
      </c>
      <c r="C18" s="5" t="s">
        <v>69</v>
      </c>
      <c r="D18" s="36">
        <v>86915</v>
      </c>
      <c r="E18" s="8">
        <v>46005</v>
      </c>
      <c r="G18" s="53"/>
      <c r="H18" s="53">
        <v>3007</v>
      </c>
      <c r="I18" s="53" t="s">
        <v>63</v>
      </c>
      <c r="J18" s="53">
        <f>INDEX(A2:E21,MATCH(H18,A2:A21,0),MATCH(I18,A1:E1,0))</f>
        <v>35960</v>
      </c>
      <c r="K18" s="50"/>
      <c r="L18" s="50"/>
      <c r="M18" s="50"/>
    </row>
    <row r="19" spans="1:13" ht="15.75" thickBot="1" x14ac:dyDescent="0.3">
      <c r="A19" s="4">
        <v>3018</v>
      </c>
      <c r="B19" s="5" t="s">
        <v>86</v>
      </c>
      <c r="C19" s="5" t="s">
        <v>72</v>
      </c>
      <c r="D19" s="36">
        <v>116284</v>
      </c>
      <c r="E19" s="8">
        <v>46255</v>
      </c>
      <c r="G19" s="53"/>
      <c r="H19" s="53">
        <v>3008</v>
      </c>
      <c r="I19" s="53" t="s">
        <v>64</v>
      </c>
      <c r="J19" s="53">
        <f>INDEX(A2:E21,MATCH(H19,A2:A21,0),MATCH(I19,A1:E1,0))</f>
        <v>43755</v>
      </c>
      <c r="K19" s="50"/>
      <c r="L19" s="50"/>
      <c r="M19" s="50"/>
    </row>
    <row r="20" spans="1:13" ht="15.75" thickBot="1" x14ac:dyDescent="0.3">
      <c r="A20" s="4">
        <v>3019</v>
      </c>
      <c r="B20" s="5" t="s">
        <v>87</v>
      </c>
      <c r="C20" s="5" t="s">
        <v>75</v>
      </c>
      <c r="D20" s="36">
        <v>116283</v>
      </c>
      <c r="E20" s="8">
        <v>46505</v>
      </c>
      <c r="G20" s="50"/>
      <c r="H20" s="50"/>
      <c r="I20" s="50"/>
      <c r="J20" s="50"/>
      <c r="K20" s="50"/>
      <c r="L20" s="50"/>
      <c r="M20" s="50"/>
    </row>
    <row r="21" spans="1:13" x14ac:dyDescent="0.25">
      <c r="A21" s="6">
        <v>3020</v>
      </c>
      <c r="B21" s="7" t="s">
        <v>88</v>
      </c>
      <c r="C21" s="7" t="s">
        <v>75</v>
      </c>
      <c r="D21" s="37">
        <v>99924</v>
      </c>
      <c r="E21" s="9">
        <v>46755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Student Data</vt:lpstr>
      <vt:lpstr>Sales Data</vt:lpstr>
      <vt:lpstr>Employee Data</vt:lpstr>
      <vt:lpstr>Sales_Amount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Awara Boy</cp:lastModifiedBy>
  <dcterms:created xsi:type="dcterms:W3CDTF">2015-06-05T18:17:20Z</dcterms:created>
  <dcterms:modified xsi:type="dcterms:W3CDTF">2026-10-28T08:08:06Z</dcterms:modified>
</cp:coreProperties>
</file>